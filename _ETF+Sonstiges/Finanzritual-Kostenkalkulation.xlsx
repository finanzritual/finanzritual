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ostenübersicht" sheetId="1" state="visible" r:id="rId3"/>
    <sheet name="3-Konten-Modell" sheetId="2" state="visible" r:id="rId4"/>
    <sheet name="Offene Punkte" sheetId="3" state="visible" r:id="rId5"/>
    <sheet name="Adress-Anbieter"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<sst xmlns="http://schemas.openxmlformats.org/spreadsheetml/2006/main" count="226" uniqueCount="152">
  <si>
    <t xml:space="preserve">Finanzritual — Kostenkalkulation Jahr 1</t>
  </si>
  <si>
    <t xml:space="preserve">Blau = Wert übernommen. Gelb hinterlegt = noch offen/zu recherchieren, aktuell nur Schätzung oder Platzhalter. Stand: 10.08.2026.</t>
  </si>
  <si>
    <t xml:space="preserve">Position</t>
  </si>
  <si>
    <t xml:space="preserve">Typ</t>
  </si>
  <si>
    <t xml:space="preserve">Betrag</t>
  </si>
  <si>
    <t xml:space="preserve">Häufigkeit</t>
  </si>
  <si>
    <t xml:space="preserve">Jahr-1-Kosten (€)</t>
  </si>
  <si>
    <t xml:space="preserve">Status/Notiz</t>
  </si>
  <si>
    <t xml:space="preserve">Bereits privat bezahlt?</t>
  </si>
  <si>
    <t xml:space="preserve">Gewerbeanmeldung</t>
  </si>
  <si>
    <t xml:space="preserve">Einmalig</t>
  </si>
  <si>
    <t xml:space="preserve">einmalig</t>
  </si>
  <si>
    <t xml:space="preserve">Bestätigt</t>
  </si>
  <si>
    <t xml:space="preserve">Nein</t>
  </si>
  <si>
    <t xml:space="preserve">Markenrecht (DPMA-Anmeldung, 10 Jahre) — BEZAHLT ✅</t>
  </si>
  <si>
    <t xml:space="preserve">Zahlung am 11.08. bestätigt raus, Aktenzeichen 302026243932.2. Tatsächliche Gebühr entsprach exakt der Schätzung, keine Rechtsanwaltsgebühren angefallen (Eigenanmeldung).</t>
  </si>
  <si>
    <t xml:space="preserve">Markenanwalt (nicht gebucht — Eigenanmeldung gewählt)</t>
  </si>
  <si>
    <t xml:space="preserve">User-Entscheidung (11.08.): DPMA-Anmeldung wird selbst durchgeführt, keine Anwaltsberatung gebucht — Begründung: auch der Anwalt bietet keine hundertprozentige Sicherheit vor späterem Widerspruch, daher lieber die Kosten sparen und das Risiko bewusst selbst tragen. Zeile bleibt als Erinnerung an die Abwägung stehen, zählt mit 0€ nicht mehr in die Kalkulation.</t>
  </si>
  <si>
    <t xml:space="preserve">Thermodrucker für Versand-Label</t>
  </si>
  <si>
    <t xml:space="preserve">Bestätigt — ABER bereits privat gekauft, siehe Spalte G. Fließt nicht mehr in den Geschäftskonto-Abzug ein.</t>
  </si>
  <si>
    <t xml:space="preserve">Ja</t>
  </si>
  <si>
    <t xml:space="preserve">Domain (Porkbun, finanz-ritual.de)</t>
  </si>
  <si>
    <t xml:space="preserve">Laufend</t>
  </si>
  <si>
    <t xml:space="preserve">pro Jahr</t>
  </si>
  <si>
    <t xml:space="preserve">Bestätigt — ABER bereits privat bezahlt, siehe Spalte G. Fließt nicht mehr in den Geschäftskonto-Abzug ein.</t>
  </si>
  <si>
    <t xml:space="preserve">Hosting (GitHub Pages)</t>
  </si>
  <si>
    <t xml:space="preserve">Kostenlos dauerhaft, bestätigt</t>
  </si>
  <si>
    <t xml:space="preserve">KI-Kosten (Claude, zwei Abos/Nutzungsarten)</t>
  </si>
  <si>
    <t xml:space="preserve">Bestätigt — ABER bereits bezahlt (die 220+200€ sind bereits geleistet), siehe Spalte G. Fließt nicht mehr in den Geschäftskonto-Abzug ein.</t>
  </si>
  <si>
    <t xml:space="preserve">Zusätzliche KI-Nutzung (Budget-Obergrenze, nicht fix)</t>
  </si>
  <si>
    <t xml:space="preserve">Laufend (Deckelung)</t>
  </si>
  <si>
    <t xml:space="preserve">pro Jahr, max.</t>
  </si>
  <si>
    <t xml:space="preserve">Selbstgesetzte Obergrenze für Mehrnutzung über die bereits bezahlten Claude-Kosten hinaus — kein fixer Ist-Kosten-Posten, sondern ein Budget-Deckel, den der User bewusst nicht überschreiten möchte. [12.08.2026: Budget-Obergrenze um 50% aufgestockt, von 200€ auf 300€, auf Nutzerwunsch.]</t>
  </si>
  <si>
    <t xml:space="preserve">Rechtsschutzversicherung (geschäftlich)</t>
  </si>
  <si>
    <t xml:space="preserve">Betriebshaftpflicht + Vermögensschadenhaftpflicht (exali, kombiniert)</t>
  </si>
  <si>
    <t xml:space="preserve">pro Jahr (3-Jahres-Vertrag)</t>
  </si>
  <si>
    <t xml:space="preserve">ECHTES ANGEBOT (Screenshot 11.08.2026): VSH 100.000€ (Jahreshöchstleistung 300.000€) + BHV 2 Mio€ (Jahreshöchstleistung 6 Mio€), Selbstbeteiligung je 250€ (Vermögens- und Sachschäden). 3-Jahres-Laufzeit mit 10% Rabatt bereits eingerechnet (Nettobeitrag 243€, inkl. 19% Versicherungssteuer = 289,17€ brutto/Jahr). Bindet für 3 Jahre — bei 1 Jahr Laufzeit wäre der Preis ohne den 10%-Rabatt höher.</t>
  </si>
  <si>
    <t xml:space="preserve">Vermögensschadenhaftpflichtversicherung</t>
  </si>
  <si>
    <t xml:space="preserve">Noch NICHT recherchiert — reiner Platzhalter, unbedingt vor Termin klären</t>
  </si>
  <si>
    <t xml:space="preserve">Steuerberater</t>
  </si>
  <si>
    <t xml:space="preserve">"450€ oder etwas weniger" It. Nutzerangabe</t>
  </si>
  <si>
    <t xml:space="preserve">E-Mail-Support/Hosting</t>
  </si>
  <si>
    <t xml:space="preserve">VG Wort</t>
  </si>
  <si>
    <t xml:space="preserve">Bestätigt kostenlos</t>
  </si>
  <si>
    <t xml:space="preserve">Affiliate-Programme (alle, inkl. Amazon)</t>
  </si>
  <si>
    <t xml:space="preserve">Bestätigt kostenlos, Kosten sind Umsatzanteile, keine Fixkosten</t>
  </si>
  <si>
    <t xml:space="preserve">eBook/digitale Medien — mediashop24</t>
  </si>
  <si>
    <t xml:space="preserve">IHK-Beitrag</t>
  </si>
  <si>
    <t xml:space="preserve">Recherchiert: Existenzgründer (natürliche Person) sind It. §3 IHKG in Jahr 1–2 komplett beitragsfrei, bei Gewerbeertrag &lt; 5.200€ ohnehin dauerhaft befreit — plausibel 0€ im ersten Jahr, danach ggf. Mindestgrundbeitrag (~32–130€) prüfen</t>
  </si>
  <si>
    <t xml:space="preserve">Newsletter-Versand (Brevo, Free-Tier)</t>
  </si>
  <si>
    <t xml:space="preserve">Free-Tier It. Nutzerangabe ausreichend, ggf. später kostenpflichtig bei Kontaktzahl-Wachstum</t>
  </si>
  <si>
    <t xml:space="preserve">Lexware Office (Buchhaltungssoftware, Paket S/M)</t>
  </si>
  <si>
    <t xml:space="preserve">Recherchiert: 7,90–12,90€/Monat netto je nach Paket (S/M reicht als Kleinunternehmer ohne USt-VA-Pflicht), Mittelwert ca. 10,80€/Monat netto + 19% USt ≈ 130€/Jahr eingesetzt — Alternative sevDesk/Norman ebenfalls prüfen</t>
  </si>
  <si>
    <t xml:space="preserve">Girokonto (geschäftlich)</t>
  </si>
  <si>
    <t xml:space="preserve">11€/Monat It. Nutzerangabe, mit "???" markiert — Anbieter/Kondition noch nicht final bestätigt</t>
  </si>
  <si>
    <t xml:space="preserve">Adress-Dienstleister (Geschäftsadresse für Impressum + Gewerbeanmeldung)</t>
  </si>
  <si>
    <t xml:space="preserve">pro Jahr (29€/Monat)</t>
  </si>
  <si>
    <t xml:space="preserve">WICHTIG: User-Schätzung (5-15€/Monat) recherchiert und korrigiert — dieser günstige Bereich gilt meist nur für reine Impressum-Adressen (Website/Social Media/Buch), NICHT ausreichend für Gewerbeanmeldung/Finanzamt/Handelsregister. Für eine echte, dafür nutzbare Geschäftsadresse realistisch eher 29€/Monat (z.B. Denkwerk Herford, geschaeftsanschrift.de) bis 69€/Monat (rent-a-postbox.de). Siehe Anbieter-Tab.</t>
  </si>
  <si>
    <t xml:space="preserve">Geschäftshandy</t>
  </si>
  <si>
    <t xml:space="preserve">Aktualisiert: 8€/Monat gedeckelt (vorher 12€ angenommen), altes Handy wird weiterverwendet statt Neuanschaffung — bewusste Kostensenkung.</t>
  </si>
  <si>
    <t xml:space="preserve">Quartett drucken lassen (Shop-Artikel)</t>
  </si>
  <si>
    <t xml:space="preserve">Einmalig/Variabel</t>
  </si>
  <si>
    <t xml:space="preserve">Druckkosten bestätigt, Versand/Fulfillment noch offen (siehe unten)</t>
  </si>
  <si>
    <t xml:space="preserve">Versand Quartett — persönlich ODER Fulfillment-Center</t>
  </si>
  <si>
    <t xml:space="preserve">Laufend/Variabel</t>
  </si>
  <si>
    <t xml:space="preserve">pro Bestellung</t>
  </si>
  <si>
    <t xml:space="preserve">Preis unbekannt — abhängig von Bestellvolumen und Anbieterwahl, noch nicht recherchiert</t>
  </si>
  <si>
    <t xml:space="preserve">VIP-Bereich Einrichtung &amp; Elemente entwickeln</t>
  </si>
  <si>
    <t xml:space="preserve">Kosten unbekannt — abhängig vom gewählten Umfang (Stufe 1/2/3, siehe Verwaltungsdokument)</t>
  </si>
  <si>
    <t xml:space="preserve">Print-on-Demand-Shop (Marge, kein Fixkostenposten)</t>
  </si>
  <si>
    <t xml:space="preserve">Laufend (Marge)</t>
  </si>
  <si>
    <t xml:space="preserve">pro Verkauf</t>
  </si>
  <si>
    <t xml:space="preserve">Anbieter behält 85–90% des Umsatzes ein, User erhält 10–15% — keine Fixkosten, nur entgangene Marge</t>
  </si>
  <si>
    <t xml:space="preserve">BMAC (Buy Me a Coffee)</t>
  </si>
  <si>
    <t xml:space="preserve">Laufend (nur bei Nutzung)</t>
  </si>
  <si>
    <t xml:space="preserve">pro Spende</t>
  </si>
  <si>
    <t xml:space="preserve">Kosten nur bei tatsächlichen Spenden (Plattformgebühr + USt wird automatisch abgeführt), kein Fixkostenposten</t>
  </si>
  <si>
    <t xml:space="preserve">Video-KI-Tool (Shorts aus Skript generieren)</t>
  </si>
  <si>
    <t xml:space="preserve">pro Jahr (geschätzt)</t>
  </si>
  <si>
    <t xml:space="preserve">Grobe Schätzung des Users ("300€ für ein Jahr schätze ich??"), noch kein konkretes Tool/Anbieter ausgewählt. Ziel: Reichweite über Shorts vergrößern.</t>
  </si>
  <si>
    <t xml:space="preserve">SUMME Jahr 1 (alle Positionen)</t>
  </si>
  <si>
    <t xml:space="preserve">davon: nur bereits bestätigte Positionen</t>
  </si>
  <si>
    <t xml:space="preserve">davon: noch offene/geschätzte Positionen (gelb)</t>
  </si>
  <si>
    <t xml:space="preserve">Geplante Kapital-Überweisung aufs Geschäftskonto:</t>
  </si>
  <si>
    <t xml:space="preserve">Puffer nach Abzug Jahr-1-Kosten:</t>
  </si>
  <si>
    <t xml:space="preserve">3-Konten-Modell: Steuer-Rücklage strukturieren</t>
  </si>
  <si>
    <t xml:space="preserve">Passend zum bereits im Blog behandelten Modell (siehe beitrag-3-konten-modell-freelancer.html). Girokonto für den laufenden Betrieb, Tagesgeldkonto für die kurzfristig geparkte Steuer-Rücklage.</t>
  </si>
  <si>
    <t xml:space="preserve">Betrag (€)</t>
  </si>
  <si>
    <t xml:space="preserve">Formel/Hinweis</t>
  </si>
  <si>
    <t xml:space="preserve">Monatlicher Netto-Umsatz (Beispielwert, bitte anpassen)</t>
  </si>
  <si>
    <t xml:space="preserve">Steuer-Rücklage-Satz</t>
  </si>
  <si>
    <t xml:space="preserve">Faustregel-Satz It. Nutzerangabe — deckt ESt+Soli+ggf. GewSt ab, im ersten Jahr ohne Vorauszahlungen meist mit Puffer</t>
  </si>
  <si>
    <t xml:space="preserve">→ Monatlich aufs Tagesgeldkonto zu verschieben</t>
  </si>
  <si>
    <t xml:space="preserve">→ Verbleibt auf dem Girokonto für laufende Kosten</t>
  </si>
  <si>
    <t xml:space="preserve">Hochgerechnet aufs Jahr</t>
  </si>
  <si>
    <t xml:space="preserve">Steuer-Rücklage nach 12 Monaten</t>
  </si>
  <si>
    <t xml:space="preserve">Hinweis: Steuervorauszahlungen fallen laut Nutzerangabe im ersten Jahr voraussichtlich noch nicht an — das Finanzamt setzt sie meist erst nach dem ersten Steuerbescheid fest. Die Rücklage sollte trotzdem von Anfang an angespart werden, damit die erste Nachzahlung nicht überrascht. Auf einem Tagesgeldkonto bleibt sie kurzfristig verfügbar, aber getrennt vom Alltagsgeschäft.</t>
  </si>
  <si>
    <t xml:space="preserve">Offene Punkte — Checkliste für den Steuerberater-/IHK-Termin</t>
  </si>
  <si>
    <t xml:space="preserve">Alle gelb markierten Positionen aus der Kostenübersicht, kompakt als Frageliste.</t>
  </si>
  <si>
    <t xml:space="preserve">Frage/Punkt</t>
  </si>
  <si>
    <t xml:space="preserve">Warum wichtig</t>
  </si>
  <si>
    <t xml:space="preserve">Antwort (nach dem Termin eintragen)</t>
  </si>
  <si>
    <t xml:space="preserve">Markenrecht: reicht die DPMA-Eigenanmeldung (290€/10 Jahre) oder ist zusätzlich eine notarielle/anwaltliche Beratung (500–850€) sinnvoll/nötig?</t>
  </si>
  <si>
    <t xml:space="preserve">Größter Einzel-Unsicherheitsfaktor in der Kalkulation — Differenz von über 500€.</t>
  </si>
  <si>
    <t xml:space="preserve">Vermögensschadenhaftpflichtversicherung: Angebote bei exali und Hiscox einholen, idealerweise im Bundle mit der Betriebshaftpflicht.</t>
  </si>
  <si>
    <t xml:space="preserve">Noch komplett unrecherchiert, aktuell nur ein Platzhalterwert in der Kalkulation.</t>
  </si>
  <si>
    <t xml:space="preserve">IHK-Beitrag: Befreiung für Jahr 1–2 als Existenzgründer bestätigen lassen.</t>
  </si>
  <si>
    <t xml:space="preserve">Recherche deutet auf 0€ im ersten Jahr hin, aber von der zuständigen IHK direkt bestätigen lassen.</t>
  </si>
  <si>
    <t xml:space="preserve">Buchhaltungssoftware (Lexware Office vs. Alternativen wie sevDesk/Norman): welches Paket passt zur Zusammenarbeit mit dem Steuerberater?</t>
  </si>
  <si>
    <t xml:space="preserve">Manche Steuerberater bevorzugen bestimmte DATEV-kompatible Tools — vor dem Abschluss abstimmen.</t>
  </si>
  <si>
    <t xml:space="preserve">Geschäftskonto: welcher Anbieter, welche genauen Konditionen (11€/Monat war nur eine grobe Annahme)?</t>
  </si>
  <si>
    <t xml:space="preserve">Sollte parallel zur Steuerberater-Empfehlung entschieden werden.</t>
  </si>
  <si>
    <t xml:space="preserve">Quartett-Versand: Fulfillment-Center-Kosten vs. persönlicher Versand — Preise bei 1-2 Anbietern einholen.</t>
  </si>
  <si>
    <t xml:space="preserve">Beeinflusst die Marge auf den Shop-Artikel direkt.</t>
  </si>
  <si>
    <t xml:space="preserve">VIP-Bereich: welcher Umfang (Stufe 1/2/3) ist realistisch, und was würde die Entwicklung kosten?</t>
  </si>
  <si>
    <t xml:space="preserve">Siehe Verwaltungsdokument für die drei diskutierten Stufen.</t>
  </si>
  <si>
    <t xml:space="preserve">WpHG-Formulierung im Disclaimer: exakten Wortlaut von einem Anwalt gegenprüfen lassen.</t>
  </si>
  <si>
    <t xml:space="preserve">Siehe Verwaltungsdokument, Abschnitt zu Versicherung &amp; WpHG.</t>
  </si>
  <si>
    <t xml:space="preserve">Adress-Dienstleister: Anbietervergleich</t>
  </si>
  <si>
    <t xml:space="preserve">Recherchiert 10.08.2026 — Preise ohne Gewähr, vor Buchung auf der jeweiligen Anbieter-Seite verifizieren.</t>
  </si>
  <si>
    <t xml:space="preserve">Anbieter</t>
  </si>
  <si>
    <t xml:space="preserve">Ab-Preis/Monat</t>
  </si>
  <si>
    <t xml:space="preserve">Für Gewerbeanmeldung geeignet?</t>
  </si>
  <si>
    <t xml:space="preserve">Bindung</t>
  </si>
  <si>
    <t xml:space="preserve">Hinweis</t>
  </si>
  <si>
    <t xml:space="preserve">Adressgeber.de</t>
  </si>
  <si>
    <t xml:space="preserve">9,60 €</t>
  </si>
  <si>
    <t xml:space="preserve">Nein — nur Impressum/Social Media/Buch</t>
  </si>
  <si>
    <t xml:space="preserve">Monatlich kündbar</t>
  </si>
  <si>
    <t xml:space="preserve">Günstig, aber für Gewerbeanmeldung/Finanzamt/Handelsregister explizit NICHT vorgesehen laut Anbieter selbst</t>
  </si>
  <si>
    <t xml:space="preserve">ihr-impressum.de</t>
  </si>
  <si>
    <t xml:space="preserve">5,00 €</t>
  </si>
  <si>
    <t xml:space="preserve">Nein — nur Impressumsadresse</t>
  </si>
  <si>
    <t xml:space="preserve">Jahresabo für den Preis, sonst monatlich</t>
  </si>
  <si>
    <t xml:space="preserve">Gleiche Einschränkung wie oben</t>
  </si>
  <si>
    <t xml:space="preserve">Denkwerk Herford</t>
  </si>
  <si>
    <t xml:space="preserve">29,00 € netto</t>
  </si>
  <si>
    <t xml:space="preserve">12 Monate Mindestlaufzeit</t>
  </si>
  <si>
    <t xml:space="preserve">Explizit als vollwertige Geschäftsadresse beworben, Zusatzleistungen (Postweiterleitung, 24/7-Zugang) optional buchbar</t>
  </si>
  <si>
    <t xml:space="preserve">geschaeftsanschrift.de</t>
  </si>
  <si>
    <t xml:space="preserve">29,00 € zzgl. USt</t>
  </si>
  <si>
    <t xml:space="preserve">Nicht recherchiert</t>
  </si>
  <si>
    <t xml:space="preserve">Zusätzlich 2,95€ Servicepauschale pro weitergeleiteter Sendung + Porto</t>
  </si>
  <si>
    <t xml:space="preserve">rent-a-postbox.de</t>
  </si>
  <si>
    <t xml:space="preserve">69,00 €</t>
  </si>
  <si>
    <t xml:space="preserve">3 Monate Mindestlaufzeit</t>
  </si>
  <si>
    <t xml:space="preserve">Höherwertiges Paket, inkl. eigenem Briefkasten + Schließfach + Flex-Desk-Arbeitsplatz — vermutlich mehr als nötig</t>
  </si>
  <si>
    <t xml:space="preserve">Satellite Office</t>
  </si>
  <si>
    <t xml:space="preserve">179,00 €</t>
  </si>
  <si>
    <t xml:space="preserve">Ja, auch handelsregisterfähig</t>
  </si>
  <si>
    <t xml:space="preserve">Premium-Segment, für ein Kleingewerbe wie Finanzritual voraussichtlich überdimensioniert</t>
  </si>
  <si>
    <t xml:space="preserve">Einschätzung: Die günstigen ~5-15€-Anbieter (grau) sind für eine reine Website-Impressumsadresse gedacht, aber laut eigener Aussage NICHT für die Gewerbeanmeldung nutzbar — für ein echtes Kleingewerbe braucht es die teurere Kategorie (grün markiert, ab ca. 29€/Monat). Denkwerk Herford wirkt vom Preis-Leistungs-Verhältnis am passendsten, hat aber 12 Monate Mindestlaufzeit — bei geschaeftsanschrift.de die Sendungspauschale gegenrechnen, falls viel Post erwartet wird.</t>
  </si>
</sst>
</file>

<file path=xl/styles.xml><?xml version="1.0" encoding="utf-8"?>
<styleSheet xmlns="http://schemas.openxmlformats.org/spreadsheetml/2006/main">
  <numFmts count="4">
    <numFmt numFmtId="164" formatCode="General"/>
    <numFmt numFmtId="165" formatCode="#,##0&quot; €&quot;"/>
    <numFmt numFmtId="166" formatCode="#,##0.00&quot; €&quot;"/>
    <numFmt numFmtId="167" formatCode="0%"/>
  </numFmts>
  <fonts count="16">
    <font>
      <sz val="11"/>
      <color theme="1"/>
      <name val="Calibri"/>
      <family val="2"/>
      <charset val="1"/>
    </font>
    <font>
      <sz val="10"/>
      <name val="Arial"/>
      <family val="0"/>
    </font>
    <font>
      <sz val="10"/>
      <name val="Arial"/>
      <family val="0"/>
    </font>
    <font>
      <sz val="10"/>
      <name val="Arial"/>
      <family val="0"/>
    </font>
    <font>
      <b val="true"/>
      <sz val="14"/>
      <color rgb="FF1E3A5F"/>
      <name val="Arial"/>
      <family val="0"/>
      <charset val="1"/>
    </font>
    <font>
      <i val="true"/>
      <sz val="8.5"/>
      <color rgb="FF666666"/>
      <name val="Arial"/>
      <family val="0"/>
      <charset val="1"/>
    </font>
    <font>
      <b val="true"/>
      <sz val="11"/>
      <color rgb="FFFFFFFF"/>
      <name val="Arial"/>
      <family val="0"/>
      <charset val="1"/>
    </font>
    <font>
      <sz val="10"/>
      <name val="Arial"/>
      <family val="0"/>
      <charset val="1"/>
    </font>
    <font>
      <sz val="10"/>
      <color rgb="FF0000FF"/>
      <name val="Arial"/>
      <family val="0"/>
      <charset val="1"/>
    </font>
    <font>
      <i val="true"/>
      <sz val="10"/>
      <color rgb="FF0000FF"/>
      <name val="Arial"/>
      <family val="0"/>
      <charset val="1"/>
    </font>
    <font>
      <b val="true"/>
      <sz val="11"/>
      <color rgb="FF1E3A5F"/>
      <name val="Arial"/>
      <family val="0"/>
      <charset val="1"/>
    </font>
    <font>
      <i val="true"/>
      <sz val="10"/>
      <name val="Arial"/>
      <family val="0"/>
      <charset val="1"/>
    </font>
    <font>
      <i val="true"/>
      <sz val="10"/>
      <color rgb="FF8A5A06"/>
      <name val="Arial"/>
      <family val="0"/>
      <charset val="1"/>
    </font>
    <font>
      <b val="true"/>
      <sz val="10"/>
      <name val="Arial"/>
      <family val="0"/>
      <charset val="1"/>
    </font>
    <font>
      <b val="true"/>
      <sz val="10"/>
      <color rgb="FF1E8E5A"/>
      <name val="Arial"/>
      <family val="0"/>
      <charset val="1"/>
    </font>
    <font>
      <b val="true"/>
      <sz val="12"/>
      <color rgb="FF1E3A5F"/>
      <name val="Arial"/>
      <family val="0"/>
      <charset val="1"/>
    </font>
  </fonts>
  <fills count="6">
    <fill>
      <patternFill patternType="none"/>
    </fill>
    <fill>
      <patternFill patternType="gray125"/>
    </fill>
    <fill>
      <patternFill patternType="solid">
        <fgColor rgb="FF1E3A5F"/>
        <bgColor rgb="FF333333"/>
      </patternFill>
    </fill>
    <fill>
      <patternFill patternType="solid">
        <fgColor rgb="FFD7E8D4"/>
        <bgColor rgb="FFE8E8E8"/>
      </patternFill>
    </fill>
    <fill>
      <patternFill patternType="solid">
        <fgColor rgb="FFE8E8E8"/>
        <bgColor rgb="FFD7E8D4"/>
      </patternFill>
    </fill>
    <fill>
      <patternFill patternType="solid">
        <fgColor rgb="FFFFF2CC"/>
        <bgColor rgb="FFE8E8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9" fillId="3" borderId="1" xfId="0" applyFont="true" applyBorder="true" applyAlignment="true" applyProtection="false">
      <alignment horizontal="general" vertical="top" textRotation="0" wrapText="true" indent="0" shrinkToFit="false"/>
      <protection locked="true" hidden="false"/>
    </xf>
    <xf numFmtId="165" fontId="0" fillId="3" borderId="1" xfId="0" applyFont="fals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8" fillId="5" borderId="1" xfId="0" applyFont="true" applyBorder="true" applyAlignment="true" applyProtection="false">
      <alignment horizontal="general" vertical="top" textRotation="0" wrapText="true" indent="0" shrinkToFit="false"/>
      <protection locked="true" hidden="false"/>
    </xf>
    <xf numFmtId="165" fontId="0" fillId="5" borderId="1" xfId="0" applyFont="fals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xf numFmtId="166" fontId="0" fillId="3" borderId="1" xfId="0" applyFont="fals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5" fontId="9" fillId="5"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5A06"/>
      <rgbColor rgb="FF800080"/>
      <rgbColor rgb="FF008080"/>
      <rgbColor rgb="FFBFBFBF"/>
      <rgbColor rgb="FF808080"/>
      <rgbColor rgb="FF9999FF"/>
      <rgbColor rgb="FF993366"/>
      <rgbColor rgb="FFFFF2CC"/>
      <rgbColor rgb="FFE8E8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8D4"/>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E3A5F"/>
      <rgbColor rgb="FF1E8E5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3" min="3" style="1" width="12"/>
    <col collapsed="false" customWidth="true" hidden="false" outlineLevel="0" max="4" min="4" style="1" width="14"/>
    <col collapsed="false" customWidth="true" hidden="false" outlineLevel="0" max="5" min="5" style="1" width="16"/>
    <col collapsed="false" customWidth="true" hidden="false" outlineLevel="0" max="6" min="6" style="1" width="62"/>
    <col collapsed="false" customWidth="true" hidden="false" outlineLevel="0" max="7" min="7" style="1" width="20"/>
  </cols>
  <sheetData>
    <row r="1" customFormat="false" ht="25.5" hidden="false" customHeight="true" outlineLevel="0" collapsed="false">
      <c r="A1" s="2" t="s">
        <v>0</v>
      </c>
      <c r="B1" s="2"/>
      <c r="C1" s="2"/>
      <c r="D1" s="2"/>
      <c r="E1" s="2"/>
      <c r="F1" s="2"/>
    </row>
    <row r="2" customFormat="false" ht="15.75" hidden="false" customHeight="true" outlineLevel="0" collapsed="false">
      <c r="A2" s="3" t="s">
        <v>1</v>
      </c>
      <c r="B2" s="3"/>
      <c r="C2" s="3"/>
      <c r="D2" s="3"/>
      <c r="E2" s="3"/>
      <c r="F2" s="3"/>
    </row>
    <row r="4" customFormat="false" ht="30" hidden="false" customHeight="true" outlineLevel="0" collapsed="false">
      <c r="A4" s="4" t="s">
        <v>2</v>
      </c>
      <c r="B4" s="4" t="s">
        <v>3</v>
      </c>
      <c r="C4" s="4" t="s">
        <v>4</v>
      </c>
      <c r="D4" s="4" t="s">
        <v>5</v>
      </c>
      <c r="E4" s="4" t="s">
        <v>6</v>
      </c>
      <c r="F4" s="4" t="s">
        <v>7</v>
      </c>
      <c r="G4" s="4" t="s">
        <v>8</v>
      </c>
    </row>
    <row r="5" customFormat="false" ht="33.75" hidden="false" customHeight="true" outlineLevel="0" collapsed="false">
      <c r="A5" s="5" t="s">
        <v>9</v>
      </c>
      <c r="B5" s="5" t="s">
        <v>10</v>
      </c>
      <c r="C5" s="6" t="n">
        <v>60</v>
      </c>
      <c r="D5" s="5" t="s">
        <v>11</v>
      </c>
      <c r="E5" s="7" t="n">
        <f aca="false">C5</f>
        <v>60</v>
      </c>
      <c r="F5" s="8" t="s">
        <v>12</v>
      </c>
      <c r="G5" s="9" t="s">
        <v>13</v>
      </c>
    </row>
    <row r="6" customFormat="false" ht="33.75" hidden="false" customHeight="true" outlineLevel="0" collapsed="false">
      <c r="A6" s="5" t="s">
        <v>14</v>
      </c>
      <c r="B6" s="5" t="s">
        <v>10</v>
      </c>
      <c r="C6" s="6" t="n">
        <v>290</v>
      </c>
      <c r="D6" s="5" t="s">
        <v>11</v>
      </c>
      <c r="E6" s="7" t="n">
        <f aca="false">C6</f>
        <v>290</v>
      </c>
      <c r="F6" s="8" t="s">
        <v>15</v>
      </c>
      <c r="G6" s="9" t="s">
        <v>13</v>
      </c>
    </row>
    <row r="7" customFormat="false" ht="33.75" hidden="false" customHeight="true" outlineLevel="0" collapsed="false">
      <c r="A7" s="10" t="s">
        <v>16</v>
      </c>
      <c r="B7" s="10" t="s">
        <v>10</v>
      </c>
      <c r="C7" s="11" t="n">
        <v>0</v>
      </c>
      <c r="D7" s="10" t="s">
        <v>11</v>
      </c>
      <c r="E7" s="12" t="n">
        <f aca="false">C7</f>
        <v>0</v>
      </c>
      <c r="F7" s="13" t="s">
        <v>17</v>
      </c>
      <c r="G7" s="14" t="s">
        <v>13</v>
      </c>
    </row>
    <row r="8" customFormat="false" ht="33.75" hidden="false" customHeight="true" outlineLevel="0" collapsed="false">
      <c r="A8" s="5" t="s">
        <v>18</v>
      </c>
      <c r="B8" s="5" t="s">
        <v>10</v>
      </c>
      <c r="C8" s="6" t="n">
        <v>95</v>
      </c>
      <c r="D8" s="5" t="s">
        <v>11</v>
      </c>
      <c r="E8" s="7" t="n">
        <f aca="false">IF(G8="Ja",0,C8)</f>
        <v>0</v>
      </c>
      <c r="F8" s="8" t="s">
        <v>19</v>
      </c>
      <c r="G8" s="15" t="s">
        <v>20</v>
      </c>
    </row>
    <row r="9" customFormat="false" ht="33.75" hidden="false" customHeight="true" outlineLevel="0" collapsed="false">
      <c r="A9" s="5" t="s">
        <v>21</v>
      </c>
      <c r="B9" s="5" t="s">
        <v>22</v>
      </c>
      <c r="C9" s="6" t="n">
        <v>27</v>
      </c>
      <c r="D9" s="5" t="s">
        <v>23</v>
      </c>
      <c r="E9" s="7" t="n">
        <f aca="false">IF(G9="Ja",0,C9)</f>
        <v>0</v>
      </c>
      <c r="F9" s="8" t="s">
        <v>24</v>
      </c>
      <c r="G9" s="15" t="s">
        <v>20</v>
      </c>
    </row>
    <row r="10" customFormat="false" ht="33.75" hidden="false" customHeight="true" outlineLevel="0" collapsed="false">
      <c r="A10" s="5" t="s">
        <v>25</v>
      </c>
      <c r="B10" s="5" t="s">
        <v>22</v>
      </c>
      <c r="C10" s="6" t="n">
        <v>0</v>
      </c>
      <c r="D10" s="5" t="s">
        <v>23</v>
      </c>
      <c r="E10" s="7" t="n">
        <f aca="false">C10</f>
        <v>0</v>
      </c>
      <c r="F10" s="8" t="s">
        <v>26</v>
      </c>
      <c r="G10" s="9" t="s">
        <v>13</v>
      </c>
    </row>
    <row r="11" customFormat="false" ht="33.75" hidden="false" customHeight="true" outlineLevel="0" collapsed="false">
      <c r="A11" s="5" t="s">
        <v>27</v>
      </c>
      <c r="B11" s="5" t="s">
        <v>22</v>
      </c>
      <c r="C11" s="6" t="n">
        <v>420</v>
      </c>
      <c r="D11" s="5" t="s">
        <v>23</v>
      </c>
      <c r="E11" s="7" t="n">
        <f aca="false">IF(G11="Ja",0,C11)</f>
        <v>0</v>
      </c>
      <c r="F11" s="8" t="s">
        <v>28</v>
      </c>
      <c r="G11" s="15" t="s">
        <v>20</v>
      </c>
    </row>
    <row r="12" customFormat="false" ht="33.75" hidden="false" customHeight="true" outlineLevel="0" collapsed="false">
      <c r="A12" s="16" t="s">
        <v>29</v>
      </c>
      <c r="B12" s="16" t="s">
        <v>30</v>
      </c>
      <c r="C12" s="17" t="n">
        <v>300</v>
      </c>
      <c r="D12" s="16" t="s">
        <v>31</v>
      </c>
      <c r="E12" s="18" t="n">
        <f aca="false">C12</f>
        <v>300</v>
      </c>
      <c r="F12" s="19" t="s">
        <v>32</v>
      </c>
      <c r="G12" s="20" t="s">
        <v>13</v>
      </c>
    </row>
    <row r="13" customFormat="false" ht="33.75" hidden="false" customHeight="true" outlineLevel="0" collapsed="false">
      <c r="A13" s="5" t="s">
        <v>33</v>
      </c>
      <c r="B13" s="5" t="s">
        <v>22</v>
      </c>
      <c r="C13" s="6" t="n">
        <v>260</v>
      </c>
      <c r="D13" s="5" t="s">
        <v>23</v>
      </c>
      <c r="E13" s="7" t="n">
        <f aca="false">C13</f>
        <v>260</v>
      </c>
      <c r="F13" s="8" t="s">
        <v>12</v>
      </c>
      <c r="G13" s="9" t="s">
        <v>13</v>
      </c>
    </row>
    <row r="14" customFormat="false" ht="60" hidden="false" customHeight="true" outlineLevel="0" collapsed="false">
      <c r="A14" s="10" t="s">
        <v>34</v>
      </c>
      <c r="B14" s="10" t="s">
        <v>22</v>
      </c>
      <c r="C14" s="21" t="n">
        <v>289.17</v>
      </c>
      <c r="D14" s="10" t="s">
        <v>35</v>
      </c>
      <c r="E14" s="22" t="n">
        <f aca="false">C14</f>
        <v>289.17</v>
      </c>
      <c r="F14" s="13" t="s">
        <v>36</v>
      </c>
      <c r="G14" s="10" t="s">
        <v>13</v>
      </c>
    </row>
    <row r="15" customFormat="false" ht="33.75" hidden="false" customHeight="true" outlineLevel="0" collapsed="false">
      <c r="A15" s="5" t="s">
        <v>37</v>
      </c>
      <c r="B15" s="5" t="s">
        <v>22</v>
      </c>
      <c r="C15" s="23" t="n">
        <v>300</v>
      </c>
      <c r="D15" s="5" t="s">
        <v>23</v>
      </c>
      <c r="E15" s="7" t="n">
        <v>0</v>
      </c>
      <c r="F15" s="8" t="s">
        <v>38</v>
      </c>
      <c r="G15" s="9" t="s">
        <v>13</v>
      </c>
    </row>
    <row r="16" customFormat="false" ht="33.75" hidden="false" customHeight="true" outlineLevel="0" collapsed="false">
      <c r="A16" s="5" t="s">
        <v>39</v>
      </c>
      <c r="B16" s="5" t="s">
        <v>22</v>
      </c>
      <c r="C16" s="6" t="n">
        <v>450</v>
      </c>
      <c r="D16" s="5" t="s">
        <v>23</v>
      </c>
      <c r="E16" s="7" t="n">
        <f aca="false">C16</f>
        <v>450</v>
      </c>
      <c r="F16" s="8" t="s">
        <v>40</v>
      </c>
      <c r="G16" s="9" t="s">
        <v>13</v>
      </c>
    </row>
    <row r="17" customFormat="false" ht="33.75" hidden="false" customHeight="true" outlineLevel="0" collapsed="false">
      <c r="A17" s="5" t="s">
        <v>41</v>
      </c>
      <c r="B17" s="5" t="s">
        <v>22</v>
      </c>
      <c r="C17" s="6" t="n">
        <v>30</v>
      </c>
      <c r="D17" s="5" t="s">
        <v>23</v>
      </c>
      <c r="E17" s="7" t="n">
        <f aca="false">C17</f>
        <v>30</v>
      </c>
      <c r="F17" s="8" t="s">
        <v>12</v>
      </c>
      <c r="G17" s="9" t="s">
        <v>13</v>
      </c>
    </row>
    <row r="18" customFormat="false" ht="33.75" hidden="false" customHeight="true" outlineLevel="0" collapsed="false">
      <c r="A18" s="5" t="s">
        <v>42</v>
      </c>
      <c r="B18" s="5" t="s">
        <v>22</v>
      </c>
      <c r="C18" s="6" t="n">
        <v>0</v>
      </c>
      <c r="D18" s="5" t="s">
        <v>23</v>
      </c>
      <c r="E18" s="7" t="n">
        <f aca="false">C18</f>
        <v>0</v>
      </c>
      <c r="F18" s="8" t="s">
        <v>43</v>
      </c>
      <c r="G18" s="9" t="s">
        <v>13</v>
      </c>
    </row>
    <row r="19" customFormat="false" ht="33.75" hidden="false" customHeight="true" outlineLevel="0" collapsed="false">
      <c r="A19" s="5" t="s">
        <v>44</v>
      </c>
      <c r="B19" s="5" t="s">
        <v>22</v>
      </c>
      <c r="C19" s="6" t="n">
        <v>0</v>
      </c>
      <c r="D19" s="5" t="s">
        <v>23</v>
      </c>
      <c r="E19" s="7" t="n">
        <f aca="false">C19</f>
        <v>0</v>
      </c>
      <c r="F19" s="8" t="s">
        <v>45</v>
      </c>
      <c r="G19" s="9" t="s">
        <v>13</v>
      </c>
    </row>
    <row r="20" customFormat="false" ht="33.75" hidden="false" customHeight="true" outlineLevel="0" collapsed="false">
      <c r="A20" s="5" t="s">
        <v>46</v>
      </c>
      <c r="B20" s="5" t="s">
        <v>22</v>
      </c>
      <c r="C20" s="6" t="n">
        <v>0</v>
      </c>
      <c r="D20" s="5" t="s">
        <v>23</v>
      </c>
      <c r="E20" s="7" t="n">
        <f aca="false">C20</f>
        <v>0</v>
      </c>
      <c r="F20" s="8" t="s">
        <v>43</v>
      </c>
      <c r="G20" s="9" t="s">
        <v>13</v>
      </c>
    </row>
    <row r="21" customFormat="false" ht="33.75" hidden="false" customHeight="true" outlineLevel="0" collapsed="false">
      <c r="A21" s="16" t="s">
        <v>47</v>
      </c>
      <c r="B21" s="16" t="s">
        <v>22</v>
      </c>
      <c r="C21" s="24" t="n">
        <v>0</v>
      </c>
      <c r="D21" s="16" t="s">
        <v>23</v>
      </c>
      <c r="E21" s="18" t="n">
        <f aca="false">C21</f>
        <v>0</v>
      </c>
      <c r="F21" s="19" t="s">
        <v>48</v>
      </c>
      <c r="G21" s="9" t="s">
        <v>13</v>
      </c>
    </row>
    <row r="22" customFormat="false" ht="33.75" hidden="false" customHeight="true" outlineLevel="0" collapsed="false">
      <c r="A22" s="5" t="s">
        <v>49</v>
      </c>
      <c r="B22" s="5" t="s">
        <v>22</v>
      </c>
      <c r="C22" s="6" t="n">
        <v>0</v>
      </c>
      <c r="D22" s="5" t="s">
        <v>23</v>
      </c>
      <c r="E22" s="7" t="n">
        <f aca="false">C22</f>
        <v>0</v>
      </c>
      <c r="F22" s="8" t="s">
        <v>50</v>
      </c>
      <c r="G22" s="9" t="s">
        <v>13</v>
      </c>
    </row>
    <row r="23" customFormat="false" ht="33.75" hidden="false" customHeight="true" outlineLevel="0" collapsed="false">
      <c r="A23" s="16" t="s">
        <v>51</v>
      </c>
      <c r="B23" s="16" t="s">
        <v>22</v>
      </c>
      <c r="C23" s="24" t="n">
        <v>130</v>
      </c>
      <c r="D23" s="16" t="s">
        <v>23</v>
      </c>
      <c r="E23" s="18" t="n">
        <f aca="false">C23</f>
        <v>130</v>
      </c>
      <c r="F23" s="19" t="s">
        <v>52</v>
      </c>
      <c r="G23" s="9" t="s">
        <v>13</v>
      </c>
    </row>
    <row r="24" customFormat="false" ht="33.75" hidden="false" customHeight="true" outlineLevel="0" collapsed="false">
      <c r="A24" s="16" t="s">
        <v>53</v>
      </c>
      <c r="B24" s="16" t="s">
        <v>22</v>
      </c>
      <c r="C24" s="24" t="n">
        <v>132</v>
      </c>
      <c r="D24" s="16" t="s">
        <v>23</v>
      </c>
      <c r="E24" s="18" t="n">
        <f aca="false">C24</f>
        <v>132</v>
      </c>
      <c r="F24" s="19" t="s">
        <v>54</v>
      </c>
      <c r="G24" s="9" t="s">
        <v>13</v>
      </c>
    </row>
    <row r="25" customFormat="false" ht="60" hidden="false" customHeight="true" outlineLevel="0" collapsed="false">
      <c r="A25" s="16" t="s">
        <v>55</v>
      </c>
      <c r="B25" s="16" t="s">
        <v>22</v>
      </c>
      <c r="C25" s="17" t="n">
        <v>348</v>
      </c>
      <c r="D25" s="16" t="s">
        <v>56</v>
      </c>
      <c r="E25" s="18" t="n">
        <f aca="false">C25</f>
        <v>348</v>
      </c>
      <c r="F25" s="19" t="s">
        <v>57</v>
      </c>
      <c r="G25" s="16" t="s">
        <v>13</v>
      </c>
    </row>
    <row r="26" customFormat="false" ht="33.75" hidden="false" customHeight="true" outlineLevel="0" collapsed="false">
      <c r="A26" s="16" t="s">
        <v>58</v>
      </c>
      <c r="B26" s="16" t="s">
        <v>22</v>
      </c>
      <c r="C26" s="24" t="n">
        <v>96</v>
      </c>
      <c r="D26" s="16" t="s">
        <v>23</v>
      </c>
      <c r="E26" s="18" t="n">
        <f aca="false">C26</f>
        <v>96</v>
      </c>
      <c r="F26" s="19" t="s">
        <v>59</v>
      </c>
      <c r="G26" s="9" t="s">
        <v>13</v>
      </c>
    </row>
    <row r="27" customFormat="false" ht="33.75" hidden="false" customHeight="true" outlineLevel="0" collapsed="false">
      <c r="A27" s="5" t="s">
        <v>60</v>
      </c>
      <c r="B27" s="5" t="s">
        <v>61</v>
      </c>
      <c r="C27" s="6" t="n">
        <v>180</v>
      </c>
      <c r="D27" s="5" t="s">
        <v>11</v>
      </c>
      <c r="E27" s="7" t="n">
        <f aca="false">C27</f>
        <v>180</v>
      </c>
      <c r="F27" s="8" t="s">
        <v>62</v>
      </c>
      <c r="G27" s="9" t="s">
        <v>13</v>
      </c>
    </row>
    <row r="28" customFormat="false" ht="33.75" hidden="false" customHeight="true" outlineLevel="0" collapsed="false">
      <c r="A28" s="16" t="s">
        <v>63</v>
      </c>
      <c r="B28" s="16" t="s">
        <v>64</v>
      </c>
      <c r="C28" s="24" t="n">
        <v>0</v>
      </c>
      <c r="D28" s="16" t="s">
        <v>65</v>
      </c>
      <c r="E28" s="18" t="n">
        <v>0</v>
      </c>
      <c r="F28" s="19" t="s">
        <v>66</v>
      </c>
      <c r="G28" s="9" t="s">
        <v>13</v>
      </c>
    </row>
    <row r="29" customFormat="false" ht="33.75" hidden="false" customHeight="true" outlineLevel="0" collapsed="false">
      <c r="A29" s="16" t="s">
        <v>67</v>
      </c>
      <c r="B29" s="16" t="s">
        <v>10</v>
      </c>
      <c r="C29" s="24" t="n">
        <v>0</v>
      </c>
      <c r="D29" s="16" t="s">
        <v>11</v>
      </c>
      <c r="E29" s="18" t="n">
        <f aca="false">C29</f>
        <v>0</v>
      </c>
      <c r="F29" s="19" t="s">
        <v>68</v>
      </c>
      <c r="G29" s="9" t="s">
        <v>13</v>
      </c>
    </row>
    <row r="30" customFormat="false" ht="24" hidden="false" customHeight="true" outlineLevel="0" collapsed="false">
      <c r="A30" s="5" t="s">
        <v>69</v>
      </c>
      <c r="B30" s="5" t="s">
        <v>70</v>
      </c>
      <c r="C30" s="6" t="n">
        <v>0</v>
      </c>
      <c r="D30" s="5" t="s">
        <v>71</v>
      </c>
      <c r="E30" s="7" t="n">
        <v>0</v>
      </c>
      <c r="F30" s="8" t="s">
        <v>72</v>
      </c>
      <c r="G30" s="9" t="s">
        <v>13</v>
      </c>
    </row>
    <row r="31" customFormat="false" ht="33.75" hidden="false" customHeight="true" outlineLevel="0" collapsed="false">
      <c r="A31" s="5" t="s">
        <v>73</v>
      </c>
      <c r="B31" s="5" t="s">
        <v>74</v>
      </c>
      <c r="C31" s="6" t="n">
        <v>0</v>
      </c>
      <c r="D31" s="5" t="s">
        <v>75</v>
      </c>
      <c r="E31" s="7" t="n">
        <v>0</v>
      </c>
      <c r="F31" s="8" t="s">
        <v>76</v>
      </c>
      <c r="G31" s="9" t="s">
        <v>13</v>
      </c>
    </row>
    <row r="32" customFormat="false" ht="15" hidden="false" customHeight="true" outlineLevel="0" collapsed="false">
      <c r="A32" s="16" t="s">
        <v>77</v>
      </c>
      <c r="B32" s="16" t="s">
        <v>22</v>
      </c>
      <c r="C32" s="17" t="n">
        <v>300</v>
      </c>
      <c r="D32" s="16" t="s">
        <v>78</v>
      </c>
      <c r="E32" s="18" t="n">
        <f aca="false">C32</f>
        <v>300</v>
      </c>
      <c r="F32" s="19" t="s">
        <v>79</v>
      </c>
      <c r="G32" s="16" t="s">
        <v>13</v>
      </c>
    </row>
    <row r="33" customFormat="false" ht="15" hidden="false" customHeight="true" outlineLevel="0" collapsed="false">
      <c r="A33" s="25" t="s">
        <v>80</v>
      </c>
      <c r="B33" s="26"/>
      <c r="C33" s="26"/>
      <c r="D33" s="26"/>
      <c r="E33" s="27" t="n">
        <f aca="false">SUM(E5:E32)</f>
        <v>2865.17</v>
      </c>
      <c r="F33" s="26"/>
    </row>
    <row r="34" customFormat="false" ht="15" hidden="false" customHeight="true" outlineLevel="0" collapsed="false">
      <c r="A34" s="28" t="s">
        <v>81</v>
      </c>
      <c r="B34" s="29"/>
      <c r="C34" s="29"/>
      <c r="D34" s="29"/>
      <c r="E34" s="30" t="n">
        <f aca="false">E33-(E7+E12+E21+E23+E24+E25+E26+E28+E29+E32)</f>
        <v>1559.17</v>
      </c>
      <c r="F34" s="29"/>
    </row>
    <row r="35" customFormat="false" ht="15" hidden="false" customHeight="true" outlineLevel="0" collapsed="false">
      <c r="A35" s="31" t="s">
        <v>82</v>
      </c>
      <c r="B35" s="29"/>
      <c r="C35" s="29"/>
      <c r="D35" s="29"/>
      <c r="E35" s="32" t="n">
        <f aca="false">(E7+E12+E21+E23+E24+E25+E26+E28+E29+E32)</f>
        <v>1306</v>
      </c>
      <c r="F35" s="29"/>
    </row>
    <row r="36" customFormat="false" ht="15" hidden="false" customHeight="true" outlineLevel="0" collapsed="false"/>
    <row r="37" customFormat="false" ht="15" hidden="false" customHeight="true" outlineLevel="0" collapsed="false">
      <c r="A37" s="33" t="s">
        <v>83</v>
      </c>
      <c r="C37" s="34" t="n">
        <v>3500</v>
      </c>
    </row>
    <row r="38" customFormat="false" ht="15" hidden="false" customHeight="true" outlineLevel="0" collapsed="false">
      <c r="A38" s="33" t="s">
        <v>84</v>
      </c>
      <c r="C38" s="35" t="n">
        <f aca="false">C37-E33</f>
        <v>634.83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60"/>
  </cols>
  <sheetData>
    <row r="1" customFormat="false" ht="25.5" hidden="false" customHeight="true" outlineLevel="0" collapsed="false">
      <c r="A1" s="2" t="s">
        <v>85</v>
      </c>
      <c r="B1" s="2"/>
      <c r="C1" s="2"/>
      <c r="D1" s="2"/>
    </row>
    <row r="2" customFormat="false" ht="15.75" hidden="false" customHeight="true" outlineLevel="0" collapsed="false">
      <c r="A2" s="3" t="s">
        <v>86</v>
      </c>
      <c r="B2" s="3"/>
      <c r="C2" s="3"/>
      <c r="D2" s="3"/>
    </row>
    <row r="4" customFormat="false" ht="30" hidden="false" customHeight="true" outlineLevel="0" collapsed="false">
      <c r="A4" s="4" t="s">
        <v>2</v>
      </c>
      <c r="B4" s="4" t="s">
        <v>87</v>
      </c>
      <c r="C4" s="4" t="s">
        <v>88</v>
      </c>
    </row>
    <row r="5" customFormat="false" ht="15" hidden="false" customHeight="true" outlineLevel="0" collapsed="false">
      <c r="A5" s="36" t="s">
        <v>89</v>
      </c>
      <c r="B5" s="37" t="n">
        <v>1000</v>
      </c>
      <c r="C5" s="29"/>
    </row>
    <row r="6" customFormat="false" ht="15" hidden="false" customHeight="true" outlineLevel="0" collapsed="false">
      <c r="A6" s="36" t="s">
        <v>90</v>
      </c>
      <c r="B6" s="38" t="n">
        <v>0.35</v>
      </c>
      <c r="C6" s="39" t="s">
        <v>91</v>
      </c>
    </row>
    <row r="7" customFormat="false" ht="15" hidden="false" customHeight="true" outlineLevel="0" collapsed="false">
      <c r="A7" s="36" t="s">
        <v>92</v>
      </c>
      <c r="B7" s="40" t="n">
        <f aca="false">B5*B6</f>
        <v>350</v>
      </c>
      <c r="C7" s="29"/>
    </row>
    <row r="8" customFormat="false" ht="15" hidden="false" customHeight="true" outlineLevel="0" collapsed="false">
      <c r="A8" s="29" t="s">
        <v>93</v>
      </c>
      <c r="B8" s="41" t="n">
        <f aca="false">B5-B7</f>
        <v>650</v>
      </c>
      <c r="C8" s="29"/>
    </row>
    <row r="10" customFormat="false" ht="15" hidden="false" customHeight="true" outlineLevel="0" collapsed="false">
      <c r="A10" s="42" t="s">
        <v>94</v>
      </c>
    </row>
    <row r="11" customFormat="false" ht="15" hidden="false" customHeight="true" outlineLevel="0" collapsed="false">
      <c r="A11" s="36" t="s">
        <v>95</v>
      </c>
      <c r="B11" s="41" t="n">
        <f aca="false">B7*12</f>
        <v>4200</v>
      </c>
    </row>
    <row r="13" customFormat="false" ht="15" hidden="false" customHeight="true" outlineLevel="0" collapsed="false">
      <c r="A13" s="43" t="s">
        <v>96</v>
      </c>
      <c r="B13" s="43"/>
      <c r="C13" s="43"/>
    </row>
    <row r="14" customFormat="false" ht="15" hidden="false" customHeight="true" outlineLevel="0" collapsed="false">
      <c r="A14" s="43"/>
      <c r="B14" s="43"/>
      <c r="C14" s="43"/>
    </row>
    <row r="15" customFormat="false" ht="15" hidden="false" customHeight="true" outlineLevel="0" collapsed="false">
      <c r="A15" s="43"/>
      <c r="B15" s="43"/>
      <c r="C15" s="43"/>
    </row>
    <row r="16" customFormat="false" ht="15" hidden="false" customHeight="true" outlineLevel="0" collapsed="false">
      <c r="A16" s="43"/>
      <c r="B16" s="43"/>
      <c r="C16" s="43"/>
    </row>
  </sheetData>
  <mergeCells count="3">
    <mergeCell ref="A1:D1"/>
    <mergeCell ref="A2:D2"/>
    <mergeCell ref="A13: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45"/>
    <col collapsed="false" customWidth="true" hidden="false" outlineLevel="0" max="3" min="3" style="1" width="35"/>
  </cols>
  <sheetData>
    <row r="1" customFormat="false" ht="25.5" hidden="false" customHeight="true" outlineLevel="0" collapsed="false">
      <c r="A1" s="2" t="s">
        <v>97</v>
      </c>
      <c r="B1" s="2"/>
      <c r="C1" s="2"/>
    </row>
    <row r="2" customFormat="false" ht="15.75" hidden="false" customHeight="true" outlineLevel="0" collapsed="false">
      <c r="A2" s="3" t="s">
        <v>98</v>
      </c>
      <c r="B2" s="3"/>
      <c r="C2" s="3"/>
    </row>
    <row r="4" customFormat="false" ht="25.5" hidden="false" customHeight="true" outlineLevel="0" collapsed="false">
      <c r="A4" s="4" t="s">
        <v>99</v>
      </c>
      <c r="B4" s="4" t="s">
        <v>100</v>
      </c>
      <c r="C4" s="4" t="s">
        <v>101</v>
      </c>
    </row>
    <row r="5" customFormat="false" ht="49.5" hidden="false" customHeight="true" outlineLevel="0" collapsed="false">
      <c r="A5" s="16" t="s">
        <v>102</v>
      </c>
      <c r="B5" s="19" t="s">
        <v>103</v>
      </c>
      <c r="C5" s="44"/>
    </row>
    <row r="6" customFormat="false" ht="49.5" hidden="false" customHeight="true" outlineLevel="0" collapsed="false">
      <c r="A6" s="16" t="s">
        <v>104</v>
      </c>
      <c r="B6" s="19" t="s">
        <v>105</v>
      </c>
      <c r="C6" s="44"/>
    </row>
    <row r="7" customFormat="false" ht="49.5" hidden="false" customHeight="true" outlineLevel="0" collapsed="false">
      <c r="A7" s="16" t="s">
        <v>106</v>
      </c>
      <c r="B7" s="19" t="s">
        <v>107</v>
      </c>
      <c r="C7" s="44"/>
    </row>
    <row r="8" customFormat="false" ht="49.5" hidden="false" customHeight="true" outlineLevel="0" collapsed="false">
      <c r="A8" s="16" t="s">
        <v>108</v>
      </c>
      <c r="B8" s="19" t="s">
        <v>109</v>
      </c>
      <c r="C8" s="44"/>
    </row>
    <row r="9" customFormat="false" ht="49.5" hidden="false" customHeight="true" outlineLevel="0" collapsed="false">
      <c r="A9" s="16" t="s">
        <v>110</v>
      </c>
      <c r="B9" s="19" t="s">
        <v>111</v>
      </c>
      <c r="C9" s="44"/>
    </row>
    <row r="10" customFormat="false" ht="49.5" hidden="false" customHeight="true" outlineLevel="0" collapsed="false">
      <c r="A10" s="16" t="s">
        <v>112</v>
      </c>
      <c r="B10" s="19" t="s">
        <v>113</v>
      </c>
      <c r="C10" s="44"/>
    </row>
    <row r="11" customFormat="false" ht="49.5" hidden="false" customHeight="true" outlineLevel="0" collapsed="false">
      <c r="A11" s="16" t="s">
        <v>114</v>
      </c>
      <c r="B11" s="19" t="s">
        <v>115</v>
      </c>
      <c r="C11" s="44"/>
    </row>
    <row r="12" customFormat="false" ht="49.5" hidden="false" customHeight="true" outlineLevel="0" collapsed="false">
      <c r="A12" s="16" t="s">
        <v>116</v>
      </c>
      <c r="B12" s="19" t="s">
        <v>117</v>
      </c>
      <c r="C12" s="44"/>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30"/>
    <col collapsed="false" customWidth="true" hidden="false" outlineLevel="0" max="4" min="4" style="1" width="22"/>
    <col collapsed="false" customWidth="true" hidden="false" outlineLevel="0" max="5" min="5" style="1" width="46"/>
  </cols>
  <sheetData>
    <row r="1" customFormat="false" ht="25.5" hidden="false" customHeight="true" outlineLevel="0" collapsed="false">
      <c r="A1" s="2" t="s">
        <v>118</v>
      </c>
      <c r="B1" s="2"/>
      <c r="C1" s="2"/>
      <c r="D1" s="2"/>
      <c r="E1" s="2"/>
    </row>
    <row r="2" customFormat="false" ht="15" hidden="false" customHeight="true" outlineLevel="0" collapsed="false">
      <c r="A2" s="3" t="s">
        <v>119</v>
      </c>
      <c r="B2" s="3"/>
      <c r="C2" s="3"/>
      <c r="D2" s="3"/>
      <c r="E2" s="3"/>
    </row>
    <row r="4" customFormat="false" ht="25.5" hidden="false" customHeight="true" outlineLevel="0" collapsed="false">
      <c r="A4" s="4" t="s">
        <v>120</v>
      </c>
      <c r="B4" s="4" t="s">
        <v>121</v>
      </c>
      <c r="C4" s="4" t="s">
        <v>122</v>
      </c>
      <c r="D4" s="4" t="s">
        <v>123</v>
      </c>
      <c r="E4" s="4" t="s">
        <v>124</v>
      </c>
    </row>
    <row r="5" customFormat="false" ht="45.75" hidden="false" customHeight="true" outlineLevel="0" collapsed="false">
      <c r="A5" s="5" t="s">
        <v>125</v>
      </c>
      <c r="B5" s="5" t="s">
        <v>126</v>
      </c>
      <c r="C5" s="5" t="s">
        <v>127</v>
      </c>
      <c r="D5" s="5" t="s">
        <v>128</v>
      </c>
      <c r="E5" s="8" t="s">
        <v>129</v>
      </c>
    </row>
    <row r="6" customFormat="false" ht="45.75" hidden="false" customHeight="true" outlineLevel="0" collapsed="false">
      <c r="A6" s="5" t="s">
        <v>130</v>
      </c>
      <c r="B6" s="5" t="s">
        <v>131</v>
      </c>
      <c r="C6" s="5" t="s">
        <v>132</v>
      </c>
      <c r="D6" s="5" t="s">
        <v>133</v>
      </c>
      <c r="E6" s="8" t="s">
        <v>134</v>
      </c>
    </row>
    <row r="7" customFormat="false" ht="45.75" hidden="false" customHeight="true" outlineLevel="0" collapsed="false">
      <c r="A7" s="10" t="s">
        <v>135</v>
      </c>
      <c r="B7" s="10" t="s">
        <v>136</v>
      </c>
      <c r="C7" s="10" t="s">
        <v>20</v>
      </c>
      <c r="D7" s="10" t="s">
        <v>137</v>
      </c>
      <c r="E7" s="13" t="s">
        <v>138</v>
      </c>
    </row>
    <row r="8" customFormat="false" ht="45.75" hidden="false" customHeight="true" outlineLevel="0" collapsed="false">
      <c r="A8" s="10" t="s">
        <v>139</v>
      </c>
      <c r="B8" s="10" t="s">
        <v>140</v>
      </c>
      <c r="C8" s="10" t="s">
        <v>20</v>
      </c>
      <c r="D8" s="10" t="s">
        <v>141</v>
      </c>
      <c r="E8" s="13" t="s">
        <v>142</v>
      </c>
    </row>
    <row r="9" customFormat="false" ht="45.75" hidden="false" customHeight="true" outlineLevel="0" collapsed="false">
      <c r="A9" s="5" t="s">
        <v>143</v>
      </c>
      <c r="B9" s="5" t="s">
        <v>144</v>
      </c>
      <c r="C9" s="5" t="s">
        <v>20</v>
      </c>
      <c r="D9" s="5" t="s">
        <v>145</v>
      </c>
      <c r="E9" s="8" t="s">
        <v>146</v>
      </c>
    </row>
    <row r="10" customFormat="false" ht="45.75" hidden="false" customHeight="true" outlineLevel="0" collapsed="false">
      <c r="A10" s="5" t="s">
        <v>147</v>
      </c>
      <c r="B10" s="5" t="s">
        <v>148</v>
      </c>
      <c r="C10" s="5" t="s">
        <v>149</v>
      </c>
      <c r="D10" s="5" t="s">
        <v>141</v>
      </c>
      <c r="E10" s="8" t="s">
        <v>150</v>
      </c>
    </row>
    <row r="12" customFormat="false" ht="15" hidden="false" customHeight="true" outlineLevel="0" collapsed="false">
      <c r="A12" s="43" t="s">
        <v>151</v>
      </c>
      <c r="B12" s="43"/>
      <c r="C12" s="43"/>
      <c r="D12" s="43"/>
      <c r="E12" s="43"/>
    </row>
    <row r="13" customFormat="false" ht="15" hidden="false" customHeight="true" outlineLevel="0" collapsed="false">
      <c r="A13" s="43"/>
      <c r="B13" s="43"/>
      <c r="C13" s="43"/>
      <c r="D13" s="43"/>
      <c r="E13" s="43"/>
    </row>
    <row r="14" customFormat="false" ht="15" hidden="false" customHeight="true" outlineLevel="0" collapsed="false">
      <c r="A14" s="43"/>
      <c r="B14" s="43"/>
      <c r="C14" s="43"/>
      <c r="D14" s="43"/>
      <c r="E14" s="43"/>
    </row>
    <row r="15" customFormat="false" ht="15" hidden="false" customHeight="true" outlineLevel="0" collapsed="false">
      <c r="A15" s="43"/>
      <c r="B15" s="43"/>
      <c r="C15" s="43"/>
      <c r="D15" s="43"/>
      <c r="E15" s="43"/>
    </row>
  </sheetData>
  <mergeCells count="3">
    <mergeCell ref="A1:E1"/>
    <mergeCell ref="A2:E2"/>
    <mergeCell ref="A12: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2026-08-10T23:37:02Z</dcterms:created>
  <dc:creator>openpyxl</dc:creator>
  <dc:description/>
  <dc:language>en-US</dc:language>
  <cp:lastModifiedBy/>
  <dcterms:modified xsi:type="dcterms:W3CDTF">2026-08-12T22:17:27Z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