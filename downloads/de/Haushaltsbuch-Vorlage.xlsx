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äten" sheetId="1" state="visible" r:id="rId3"/>
    <sheet name="Abos &amp; Verträge" sheetId="2" state="visible" r:id="rId4"/>
    <sheet name="Stromkosten &amp; Wechsel" sheetId="3" state="visible" r:id="rId5"/>
    <sheet name="Fixkosten-Fristen" sheetId="4" state="visible" r:id="rId6"/>
    <sheet name="Flensburg &amp; Schufa" sheetId="5" state="visible" r:id="rId7"/>
    <sheet name="Kostenteilung WG-Nachbar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<sst xmlns="http://schemas.openxmlformats.org/spreadsheetml/2006/main" count="170" uniqueCount="148">
  <si>
    <t xml:space="preserve">Spar-Matrix: Geschwindigkeit &amp; Wirkung getrennt betrachtet</t>
  </si>
  <si>
    <t xml:space="preserve">Erst oben anfangen: schnell umsetzbar + hohe Wirkung. Geschwindigkeit und Aufwand sind bewusst getrennt — schnell heißt nicht automatisch mühelos.</t>
  </si>
  <si>
    <t xml:space="preserve">Maßnahme</t>
  </si>
  <si>
    <t xml:space="preserve">Geschwindigkeit der Umsetzung</t>
  </si>
  <si>
    <t xml:space="preserve">Finanzielle Wirkung</t>
  </si>
  <si>
    <t xml:space="preserve">Aufwand</t>
  </si>
  <si>
    <t xml:space="preserve">Kategorie</t>
  </si>
  <si>
    <t xml:space="preserve">Amortisation</t>
  </si>
  <si>
    <t xml:space="preserve">Notiz</t>
  </si>
  <si>
    <t xml:space="preserve">Standby-Fresser aufspüren &amp; abschalten (Steckerleiste mit Schalter)</t>
  </si>
  <si>
    <t xml:space="preserve">Sofort (1 Tag)</t>
  </si>
  <si>
    <t xml:space="preserve">Hoch (100 €+/Jahr)</t>
  </si>
  <si>
    <t xml:space="preserve">Sehr gering</t>
  </si>
  <si>
    <t xml:space="preserve">Strom</t>
  </si>
  <si>
    <t xml:space="preserve">Sofort</t>
  </si>
  <si>
    <t xml:space="preserve">Strommessgerät oft kostenlos beim Energieversorger leihbar — siehe Anekdote im Begleitartikel: 1 Deckenfluter mit 41 W Standby = ca. 130 €/Jahr allein im Leerlauf.</t>
  </si>
  <si>
    <t xml:space="preserve">Ungenutzte Abos kündigen &amp; Handy-/Internetvertrag vergleichen</t>
  </si>
  <si>
    <t xml:space="preserve">Schnell (1–2 Tage)</t>
  </si>
  <si>
    <t xml:space="preserve">Sehr hoch (100–600 €/Jahr)</t>
  </si>
  <si>
    <t xml:space="preserve">Gering</t>
  </si>
  <si>
    <t xml:space="preserve">Abos</t>
  </si>
  <si>
    <t xml:space="preserve">Siehe Tab 'Abos &amp; Verträge' — jedes Abo einmal durchgehen: wird's wirklich noch genutzt? Bestandskunden zahlen oft mehr als Neukunden.</t>
  </si>
  <si>
    <t xml:space="preserve">Stromanbieter wechseln (Vergleichsportal)</t>
  </si>
  <si>
    <t xml:space="preserve">Hoch (100–300 €/Jahr)</t>
  </si>
  <si>
    <t xml:space="preserve">Wechsel ist in der Regel gesetzlich einfach und schnell — Kündigungsfrist des Altvertrags beachten.</t>
  </si>
  <si>
    <t xml:space="preserve">WLAN, Zeitschriften &amp; Gemüse-Kiste mit Nachbarn/WG teilen</t>
  </si>
  <si>
    <t xml:space="preserve">Mittelschnell (1 Woche)</t>
  </si>
  <si>
    <t xml:space="preserve">Hoch (ca. 260–550 €/Jahr)</t>
  </si>
  <si>
    <t xml:space="preserve">Mittlerer Absprachebedarf</t>
  </si>
  <si>
    <t xml:space="preserve">Wohnen/Ernährung</t>
  </si>
  <si>
    <t xml:space="preserve">Nur sinnvoll bei Vertrauensverhältnis. Saisonal + regional ist meist günstiger pro Kilo und CO2-ärmer als Supermarkt-Import-Ware.</t>
  </si>
  <si>
    <t xml:space="preserve">Gym-Wechsel: günstigerer Anbieter oder Garagen-Studio mit Nachbarn teilen</t>
  </si>
  <si>
    <t xml:space="preserve">Hoch (150–500 €/Jahr)</t>
  </si>
  <si>
    <t xml:space="preserve">Mittel</t>
  </si>
  <si>
    <t xml:space="preserve">Freizeit</t>
  </si>
  <si>
    <t xml:space="preserve">Sofort nach Wechsel</t>
  </si>
  <si>
    <t xml:space="preserve">Kündigungsfrist des Altvertrags unbedingt vorher prüfen (siehe Tab 'Abos &amp; Verträge').</t>
  </si>
  <si>
    <t xml:space="preserve">LED-Umrüstung im ganzen Haushalt</t>
  </si>
  <si>
    <t xml:space="preserve">Mittel (1–2 Wochen)</t>
  </si>
  <si>
    <t xml:space="preserve">Mittel (30–100 €/Jahr)</t>
  </si>
  <si>
    <t xml:space="preserve">Einmalig technisch</t>
  </si>
  <si>
    <t xml:space="preserve">6–12 Monate</t>
  </si>
  <si>
    <t xml:space="preserve">Einmaliger Kaufaufwand, danach dauerhaft niedrigerer Verbrauch — bei alten Halogen-/Glühlampen am größten.</t>
  </si>
  <si>
    <t xml:space="preserve">Balkonkraftwerk installieren (Stecker-Solar, 800 W)</t>
  </si>
  <si>
    <t xml:space="preserve">Extrem hoch (90–380 €/Jahr, dauerhaft)</t>
  </si>
  <si>
    <t xml:space="preserve">2–5 Jahre</t>
  </si>
  <si>
    <t xml:space="preserve">Kosten 2026 ca. 280–600 € je nach Set. Ersparnis hängt stark vom Eigenverbrauchsanteil ab — siehe Begleitartikel.</t>
  </si>
  <si>
    <t xml:space="preserve">Balkonkraftwerk mit Speicher</t>
  </si>
  <si>
    <t xml:space="preserve">Extrem hoch (150–400 €/Jahr, dauerhaft)</t>
  </si>
  <si>
    <t xml:space="preserve">Einmalig technisch, höher</t>
  </si>
  <si>
    <t xml:space="preserve">4–8 Jahre</t>
  </si>
  <si>
    <t xml:space="preserve">Speicher erhöht die Ersparnis deutlich (mehr Eigenverbrauch auch abends), aber auch die Anschaffungskosten.</t>
  </si>
  <si>
    <t xml:space="preserve">Vertikale Solar-Zaunstreifen (z.B. an Doppelstabmattenzaun)</t>
  </si>
  <si>
    <t xml:space="preserve">Langsam (2–4 Wochen)</t>
  </si>
  <si>
    <t xml:space="preserve">Hoch (100–300 €/Jahr, dauerhaft)</t>
  </si>
  <si>
    <t xml:space="preserve">Hoch</t>
  </si>
  <si>
    <t xml:space="preserve">5–10 Jahre</t>
  </si>
  <si>
    <t xml:space="preserve">Ersetzen klassische Sichtschutzstreifen 1:1 im Zaun. Liefern besonders morgens/abends Strom. Nur bei vorhandenem, passendem Zaun sinnvoll.</t>
  </si>
  <si>
    <t xml:space="preserve">Saisonaler Großeinkauf beim Bauern (regelmäßig)</t>
  </si>
  <si>
    <t xml:space="preserve">Langsam (fortlaufend)</t>
  </si>
  <si>
    <t xml:space="preserve">Mittel (monatliche Ersparnis)</t>
  </si>
  <si>
    <t xml:space="preserve">Logistischer Aufwand</t>
  </si>
  <si>
    <t xml:space="preserve">Ernährung</t>
  </si>
  <si>
    <t xml:space="preserve">Läuft dauerhaft</t>
  </si>
  <si>
    <t xml:space="preserve">Muss zur Gewohnheit werden, um zu wirken — einmaliger Großeinkauf allein bringt wenig.</t>
  </si>
  <si>
    <t xml:space="preserve">Jährliches Vertrags-Screening als feste Gewohnheit etablieren</t>
  </si>
  <si>
    <t xml:space="preserve">Variiert, oft unterschätzt</t>
  </si>
  <si>
    <t xml:space="preserve">Gering, aber wiederkehrend</t>
  </si>
  <si>
    <t xml:space="preserve">Organisation</t>
  </si>
  <si>
    <t xml:space="preserve">Ein fester Kalendertermin (z.B. jedes Jahr im Januar) verhindert automatische Vertragsverlängerungen und Preiserhöhungen, die unbemerkt bleiben.</t>
  </si>
  <si>
    <t xml:space="preserve">Abos &amp; Verträge: Kündigungsfristen im Blick behalten</t>
  </si>
  <si>
    <t xml:space="preserve">Blaue Zellen = hier eintragen. 'Kündigen bis' und 'Status' berechnen sich automatisch.</t>
  </si>
  <si>
    <t xml:space="preserve">Anbieter/Vertrag</t>
  </si>
  <si>
    <t xml:space="preserve">Monatl. Kosten (€)</t>
  </si>
  <si>
    <t xml:space="preserve">Vertragsende / nächste Verlängerung</t>
  </si>
  <si>
    <t xml:space="preserve">Kündigungsfrist (Tage vorher)</t>
  </si>
  <si>
    <t xml:space="preserve">Kündigen bis (spätestens)</t>
  </si>
  <si>
    <t xml:space="preserve">Status</t>
  </si>
  <si>
    <t xml:space="preserve">Gekündigt am</t>
  </si>
  <si>
    <t xml:space="preserve">Fitnessstudio Musterfit</t>
  </si>
  <si>
    <t xml:space="preserve">Beispielzeile — bitte durch eigene Verträge ersetzen</t>
  </si>
  <si>
    <t xml:space="preserve">Internet/DSL Telekom</t>
  </si>
  <si>
    <t xml:space="preserve">Streaming-Abo Netflix</t>
  </si>
  <si>
    <t xml:space="preserve">monatlich kündbar, hier nur zur Übersicht</t>
  </si>
  <si>
    <t xml:space="preserve">Legende Status: OK = Frist noch &gt;30 Tage entfernt · Bald kündigen! = Frist rückt näher · ⚠ Frist verpasst! = sofort handeln oder prüfen, ob sich der Vertrag automatisch verlängert hat.</t>
  </si>
  <si>
    <t xml:space="preserve">Stromkosten im Blick — Verbrauch, Tarif, Wechsel-Historie</t>
  </si>
  <si>
    <t xml:space="preserve">Monatlichen Zählerstand eintragen, Verbrauch und Kosten berechnen sich automatisch.</t>
  </si>
  <si>
    <t xml:space="preserve">Monat</t>
  </si>
  <si>
    <t xml:space="preserve">Zählerstand (kWh)</t>
  </si>
  <si>
    <t xml:space="preserve">Verbrauch (kWh)</t>
  </si>
  <si>
    <t xml:space="preserve">Preis/kWh (€)</t>
  </si>
  <si>
    <t xml:space="preserve">Kosten (€)</t>
  </si>
  <si>
    <t xml:space="preserve">Notiz (Anbieter/Tarif)</t>
  </si>
  <si>
    <t xml:space="preserve">Monat 1 (Start)</t>
  </si>
  <si>
    <t xml:space="preserve">—</t>
  </si>
  <si>
    <t xml:space="preserve">Beispielwerte — bitte durch echten Zählerstand ersetzen</t>
  </si>
  <si>
    <t xml:space="preserve">Monat 2</t>
  </si>
  <si>
    <t xml:space="preserve">Letzter Anbieterwechsel am:</t>
  </si>
  <si>
    <t xml:space="preserve">Nächster sinnvoller Vergleichstermin:</t>
  </si>
  <si>
    <t xml:space="preserve">Tipp: Strompreisvergleich lohnt sich mindestens einmal jährlich, da Grundversorgungstarife oft teurer sind als Wechseltarife.</t>
  </si>
  <si>
    <t xml:space="preserve">Große, seltene Fixkosten-Termine</t>
  </si>
  <si>
    <t xml:space="preserve">Für Zahlungen, die nur 1x/Jahr fällig werden und leicht vergessen werden.</t>
  </si>
  <si>
    <t xml:space="preserve">Position</t>
  </si>
  <si>
    <t xml:space="preserve">Betrag (€)</t>
  </si>
  <si>
    <t xml:space="preserve">Fälligkeitsdatum</t>
  </si>
  <si>
    <t xml:space="preserve">Automatisch abgebucht?</t>
  </si>
  <si>
    <t xml:space="preserve">Tage bis fällig</t>
  </si>
  <si>
    <t xml:space="preserve">Kfz-Steuer</t>
  </si>
  <si>
    <t xml:space="preserve">Ja (SEPA-Lastschrift)</t>
  </si>
  <si>
    <t xml:space="preserve">Wird vom Hauptzollamt automatisch per Lastschrift eingezogen, sobald das Fahrzeug zugelassen ist — Fälligkeit richtet sich nach dem Zulassungsdatum, nicht nach dem Kalenderjahr.</t>
  </si>
  <si>
    <t xml:space="preserve">Kfz-Versicherung (Jahresbeitrag)</t>
  </si>
  <si>
    <t xml:space="preserve">Ja/Nein — prüfen</t>
  </si>
  <si>
    <t xml:space="preserve">Kündigungsfrist meist bis 30.11. für Wechsel zum 01.01. — Vergleich lohnt sich jährlich.</t>
  </si>
  <si>
    <t xml:space="preserve">Rundfunkbeitrag (falls nicht per Dauerauftrag)</t>
  </si>
  <si>
    <t xml:space="preserve">Meist per Lastschrift</t>
  </si>
  <si>
    <t xml:space="preserve">Vierteljährlich, kann auf jährliche Zahlung umgestellt werden.</t>
  </si>
  <si>
    <t xml:space="preserve">GEZ/Hausratversicherung Jahresbeitrag</t>
  </si>
  <si>
    <t xml:space="preserve">Ja</t>
  </si>
  <si>
    <t xml:space="preserve">Flensburg-Punkte &amp; Schufa-Score im Blick</t>
  </si>
  <si>
    <t xml:space="preserve">Beide beeinflussen indirekt Finanzen — Punkte z.B. die Kfz-Versicherungsprämie, Schufa jede Kreditwürdigkeits-Prüfung.</t>
  </si>
  <si>
    <t xml:space="preserve">Flensburg-Punkte</t>
  </si>
  <si>
    <t xml:space="preserve">Datum Eintrag</t>
  </si>
  <si>
    <t xml:space="preserve">Grund</t>
  </si>
  <si>
    <t xml:space="preserve">Punkte</t>
  </si>
  <si>
    <t xml:space="preserve">Punktestand gesamt</t>
  </si>
  <si>
    <t xml:space="preserve">Löschung voraussichtlich am</t>
  </si>
  <si>
    <t xml:space="preserve">Beispiel: Geschwindigkeitsüberschreitung</t>
  </si>
  <si>
    <t xml:space="preserve">2.5 Jahre nach Rechtskraft (bei 1 Punkt)</t>
  </si>
  <si>
    <t xml:space="preserve">Schufa-Score-Verlauf</t>
  </si>
  <si>
    <t xml:space="preserve">Datum Abfrage</t>
  </si>
  <si>
    <t xml:space="preserve">Score (%)</t>
  </si>
  <si>
    <t xml:space="preserve">Quelle/Anlass</t>
  </si>
  <si>
    <t xml:space="preserve">Kostenlose Selbstauskunft (meineschufa.de)</t>
  </si>
  <si>
    <t xml:space="preserve">Beispielwert — jährlich kostenlos abrufbar nach Art. 15 DSGVO</t>
  </si>
  <si>
    <t xml:space="preserve">Kosten mit WG/Nachbarn teilen</t>
  </si>
  <si>
    <t xml:space="preserve">Gesamtkosten eintragen, Personenzahl anpassen — Anteil pro Person berechnet sich automatisch.</t>
  </si>
  <si>
    <t xml:space="preserve">Gesamtkosten (€/Monat)</t>
  </si>
  <si>
    <t xml:space="preserve">Anzahl Parteien</t>
  </si>
  <si>
    <t xml:space="preserve">Anteil pro Partei (€)</t>
  </si>
  <si>
    <t xml:space="preserve">WLAN/Internet</t>
  </si>
  <si>
    <t xml:space="preserve">Gleichmäßig durch alle Parteien teilen</t>
  </si>
  <si>
    <t xml:space="preserve">Gemüse-Kiste (Großeinkauf beim Erzeuger)</t>
  </si>
  <si>
    <t xml:space="preserve">Saisonal günstiger und CO2-ärmer als Supermarkt</t>
  </si>
  <si>
    <t xml:space="preserve">Zeitschriften-Abo (Lesezirkel)</t>
  </si>
  <si>
    <t xml:space="preserve">Heft wandert reihum</t>
  </si>
  <si>
    <t xml:space="preserve">Garagen-Fitnessstudio (geteilte Ausstattung)</t>
  </si>
  <si>
    <t xml:space="preserve">Statt Einzelmitgliedschaft im Studio</t>
  </si>
  <si>
    <t xml:space="preserve">Summe Ersparnis ggü. Einzelhaushalt (geschätzt):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</si>
</sst>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0.00&quot; €&quot;"/>
    <numFmt numFmtId="167" formatCode="#,##0.00&quot; €&quot;"/>
    <numFmt numFmtId="168" formatCode="General"/>
    <numFmt numFmtId="169" formatCode="0.0\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10"/>
      <color rgb="FF1E8E5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7E8D4"/>
        <bgColor rgb="FFCCFFFF"/>
      </patternFill>
    </fill>
    <fill>
      <patternFill patternType="solid">
        <fgColor rgb="FFFFFACD"/>
        <bgColor rgb="FFFFFFFF"/>
      </patternFill>
    </fill>
    <fill>
      <patternFill patternType="solid">
        <fgColor rgb="FFF4CCCC"/>
        <bgColor rgb="FFD7E8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8D4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1E8E5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5.75" hidden="false" customHeight="true" outlineLevel="0" collapsed="false">
      <c r="A5" s="4" t="s">
        <v>9</v>
      </c>
      <c r="B5" s="4" t="s">
        <v>10</v>
      </c>
      <c r="C5" s="4" t="s">
        <v>11</v>
      </c>
      <c r="D5" s="5" t="s">
        <v>12</v>
      </c>
      <c r="E5" s="4" t="s">
        <v>13</v>
      </c>
      <c r="F5" s="4" t="s">
        <v>14</v>
      </c>
      <c r="G5" s="4" t="s">
        <v>15</v>
      </c>
    </row>
    <row r="6" customFormat="false" ht="45.75" hidden="false" customHeight="true" outlineLevel="0" collapsed="false">
      <c r="A6" s="4" t="s">
        <v>16</v>
      </c>
      <c r="B6" s="4" t="s">
        <v>17</v>
      </c>
      <c r="C6" s="4" t="s">
        <v>18</v>
      </c>
      <c r="D6" s="5" t="s">
        <v>19</v>
      </c>
      <c r="E6" s="4" t="s">
        <v>20</v>
      </c>
      <c r="F6" s="4" t="s">
        <v>14</v>
      </c>
      <c r="G6" s="4" t="s">
        <v>21</v>
      </c>
    </row>
    <row r="7" customFormat="false" ht="45.75" hidden="false" customHeight="true" outlineLevel="0" collapsed="false">
      <c r="A7" s="4" t="s">
        <v>22</v>
      </c>
      <c r="B7" s="4" t="s">
        <v>17</v>
      </c>
      <c r="C7" s="4" t="s">
        <v>23</v>
      </c>
      <c r="D7" s="5" t="s">
        <v>19</v>
      </c>
      <c r="E7" s="4" t="s">
        <v>13</v>
      </c>
      <c r="F7" s="4" t="s">
        <v>14</v>
      </c>
      <c r="G7" s="4" t="s">
        <v>24</v>
      </c>
    </row>
    <row r="8" customFormat="false" ht="45.75" hidden="false" customHeight="true" outlineLevel="0" collapsed="false">
      <c r="A8" s="4" t="s">
        <v>25</v>
      </c>
      <c r="B8" s="4" t="s">
        <v>26</v>
      </c>
      <c r="C8" s="4" t="s">
        <v>27</v>
      </c>
      <c r="D8" s="6" t="s">
        <v>28</v>
      </c>
      <c r="E8" s="4" t="s">
        <v>29</v>
      </c>
      <c r="F8" s="4" t="s">
        <v>14</v>
      </c>
      <c r="G8" s="4" t="s">
        <v>30</v>
      </c>
    </row>
    <row r="9" customFormat="false" ht="45.75" hidden="false" customHeight="true" outlineLevel="0" collapsed="false">
      <c r="A9" s="4" t="s">
        <v>31</v>
      </c>
      <c r="B9" s="4" t="s">
        <v>26</v>
      </c>
      <c r="C9" s="4" t="s">
        <v>32</v>
      </c>
      <c r="D9" s="6" t="s">
        <v>33</v>
      </c>
      <c r="E9" s="4" t="s">
        <v>34</v>
      </c>
      <c r="F9" s="4" t="s">
        <v>35</v>
      </c>
      <c r="G9" s="4" t="s">
        <v>36</v>
      </c>
    </row>
    <row r="10" customFormat="false" ht="45.75" hidden="false" customHeight="true" outlineLevel="0" collapsed="false">
      <c r="A10" s="4" t="s">
        <v>37</v>
      </c>
      <c r="B10" s="4" t="s">
        <v>38</v>
      </c>
      <c r="C10" s="4" t="s">
        <v>39</v>
      </c>
      <c r="D10" s="6" t="s">
        <v>40</v>
      </c>
      <c r="E10" s="4" t="s">
        <v>13</v>
      </c>
      <c r="F10" s="4" t="s">
        <v>41</v>
      </c>
      <c r="G10" s="4" t="s">
        <v>42</v>
      </c>
    </row>
    <row r="11" customFormat="false" ht="45.75" hidden="false" customHeight="true" outlineLevel="0" collapsed="false">
      <c r="A11" s="4" t="s">
        <v>43</v>
      </c>
      <c r="B11" s="4" t="s">
        <v>38</v>
      </c>
      <c r="C11" s="4" t="s">
        <v>44</v>
      </c>
      <c r="D11" s="6" t="s">
        <v>40</v>
      </c>
      <c r="E11" s="4" t="s">
        <v>13</v>
      </c>
      <c r="F11" s="4" t="s">
        <v>45</v>
      </c>
      <c r="G11" s="4" t="s">
        <v>46</v>
      </c>
    </row>
    <row r="12" customFormat="false" ht="45.75" hidden="false" customHeight="true" outlineLevel="0" collapsed="false">
      <c r="A12" s="4" t="s">
        <v>47</v>
      </c>
      <c r="B12" s="4" t="s">
        <v>38</v>
      </c>
      <c r="C12" s="4" t="s">
        <v>48</v>
      </c>
      <c r="D12" s="6" t="s">
        <v>49</v>
      </c>
      <c r="E12" s="4" t="s">
        <v>13</v>
      </c>
      <c r="F12" s="4" t="s">
        <v>50</v>
      </c>
      <c r="G12" s="4" t="s">
        <v>51</v>
      </c>
    </row>
    <row r="13" customFormat="false" ht="45.75" hidden="false" customHeight="true" outlineLevel="0" collapsed="false">
      <c r="A13" s="4" t="s">
        <v>52</v>
      </c>
      <c r="B13" s="4" t="s">
        <v>53</v>
      </c>
      <c r="C13" s="4" t="s">
        <v>54</v>
      </c>
      <c r="D13" s="7" t="s">
        <v>55</v>
      </c>
      <c r="E13" s="4" t="s">
        <v>13</v>
      </c>
      <c r="F13" s="4" t="s">
        <v>56</v>
      </c>
      <c r="G13" s="4" t="s">
        <v>57</v>
      </c>
    </row>
    <row r="14" customFormat="false" ht="45.75" hidden="false" customHeight="true" outlineLevel="0" collapsed="false">
      <c r="A14" s="4" t="s">
        <v>58</v>
      </c>
      <c r="B14" s="4" t="s">
        <v>59</v>
      </c>
      <c r="C14" s="4" t="s">
        <v>60</v>
      </c>
      <c r="D14" s="6" t="s">
        <v>61</v>
      </c>
      <c r="E14" s="4" t="s">
        <v>62</v>
      </c>
      <c r="F14" s="4" t="s">
        <v>63</v>
      </c>
      <c r="G14" s="4" t="s">
        <v>64</v>
      </c>
    </row>
    <row r="15" customFormat="false" ht="45.75" hidden="false" customHeight="true" outlineLevel="0" collapsed="false">
      <c r="A15" s="4" t="s">
        <v>65</v>
      </c>
      <c r="B15" s="4" t="s">
        <v>59</v>
      </c>
      <c r="C15" s="4" t="s">
        <v>66</v>
      </c>
      <c r="D15" s="6" t="s">
        <v>67</v>
      </c>
      <c r="E15" s="4" t="s">
        <v>68</v>
      </c>
      <c r="F15" s="4" t="s">
        <v>63</v>
      </c>
      <c r="G15" s="4" t="s">
        <v>69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28"/>
    <col collapsed="false" customWidth="true" hidden="false" outlineLevel="0" max="2" min="2" style="8" width="16"/>
    <col collapsed="false" customWidth="true" hidden="false" outlineLevel="0" max="3" min="3" style="8" width="24"/>
    <col collapsed="false" customWidth="true" hidden="false" outlineLevel="0" max="5" min="4" style="8" width="20"/>
    <col collapsed="false" customWidth="true" hidden="false" outlineLevel="0" max="7" min="6" style="8" width="16"/>
    <col collapsed="false" customWidth="true" hidden="false" outlineLevel="0" max="8" min="8" style="8" width="32"/>
  </cols>
  <sheetData>
    <row r="1" customFormat="false" ht="25.5" hidden="false" customHeight="true" outlineLevel="0" collapsed="false">
      <c r="A1" s="9" t="s">
        <v>70</v>
      </c>
      <c r="B1" s="9"/>
      <c r="C1" s="9"/>
      <c r="D1" s="9"/>
      <c r="E1" s="9"/>
      <c r="F1" s="9"/>
      <c r="G1" s="9"/>
      <c r="H1" s="9"/>
    </row>
    <row r="2" customFormat="false" ht="15.75" hidden="false" customHeight="true" outlineLevel="0" collapsed="false">
      <c r="A2" s="10" t="s">
        <v>71</v>
      </c>
      <c r="B2" s="10"/>
      <c r="C2" s="10"/>
      <c r="D2" s="10"/>
      <c r="E2" s="10"/>
      <c r="F2" s="10"/>
      <c r="G2" s="10"/>
      <c r="H2" s="10"/>
    </row>
    <row r="4" customFormat="false" ht="27.75" hidden="false" customHeight="tru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8</v>
      </c>
    </row>
    <row r="5" customFormat="false" ht="27.75" hidden="false" customHeight="true" outlineLevel="0" collapsed="false">
      <c r="A5" s="11" t="s">
        <v>79</v>
      </c>
      <c r="B5" s="11" t="n">
        <v>39.9</v>
      </c>
      <c r="C5" s="12" t="n">
        <v>46477</v>
      </c>
      <c r="D5" s="11" t="n">
        <v>30</v>
      </c>
      <c r="E5" s="13" t="n">
        <f aca="false">C5-D5</f>
        <v>46447</v>
      </c>
      <c r="F5" s="14" t="str">
        <f aca="true">IF(G5&lt;&gt;"","Gekündigt",IF(TODAY()&gt;E5,"⚠ Frist verpasst!",IF(TODAY()&gt;=E5-30,"Bald kündigen!","OK")))</f>
        <v>OK</v>
      </c>
      <c r="G5" s="12"/>
      <c r="H5" s="11" t="s">
        <v>80</v>
      </c>
    </row>
    <row r="6" customFormat="false" ht="27.75" hidden="false" customHeight="true" outlineLevel="0" collapsed="false">
      <c r="A6" s="11" t="s">
        <v>81</v>
      </c>
      <c r="B6" s="11" t="n">
        <v>44.99</v>
      </c>
      <c r="C6" s="12" t="n">
        <v>46568</v>
      </c>
      <c r="D6" s="11" t="n">
        <v>30</v>
      </c>
      <c r="E6" s="13" t="n">
        <f aca="false">C6-D6</f>
        <v>46538</v>
      </c>
      <c r="F6" s="14" t="str">
        <f aca="true">IF(G6&lt;&gt;"","Gekündigt",IF(TODAY()&gt;E6,"⚠ Frist verpasst!",IF(TODAY()&gt;=E6-30,"Bald kündigen!","OK")))</f>
        <v>OK</v>
      </c>
      <c r="G6" s="12"/>
      <c r="H6" s="11"/>
    </row>
    <row r="7" customFormat="false" ht="27.75" hidden="false" customHeight="true" outlineLevel="0" collapsed="false">
      <c r="A7" s="11" t="s">
        <v>82</v>
      </c>
      <c r="B7" s="11" t="n">
        <v>12.99</v>
      </c>
      <c r="C7" s="12" t="n">
        <v>46387</v>
      </c>
      <c r="D7" s="11" t="n">
        <v>30</v>
      </c>
      <c r="E7" s="13" t="n">
        <f aca="false">C7-D7</f>
        <v>46357</v>
      </c>
      <c r="F7" s="14" t="str">
        <f aca="true">IF(G7&lt;&gt;"","Gekündigt",IF(TODAY()&gt;E7,"⚠ Frist verpasst!",IF(TODAY()&gt;=E7-30,"Bald kündigen!","OK")))</f>
        <v>OK</v>
      </c>
      <c r="G7" s="12"/>
      <c r="H7" s="11" t="s">
        <v>83</v>
      </c>
    </row>
    <row r="9" customFormat="false" ht="15" hidden="false" customHeight="true" outlineLevel="0" collapsed="false">
      <c r="A9" s="10" t="s">
        <v>84</v>
      </c>
      <c r="B9" s="10"/>
      <c r="C9" s="10"/>
      <c r="D9" s="10"/>
      <c r="E9" s="10"/>
      <c r="F9" s="10"/>
      <c r="G9" s="10"/>
      <c r="H9" s="10"/>
    </row>
  </sheetData>
  <mergeCells count="3">
    <mergeCell ref="A1:H1"/>
    <mergeCell ref="A2:H2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8" width="20"/>
    <col collapsed="false" customWidth="true" hidden="false" outlineLevel="0" max="3" min="3" style="8" width="16"/>
    <col collapsed="false" customWidth="true" hidden="false" outlineLevel="0" max="5" min="4" style="8" width="14"/>
    <col collapsed="false" customWidth="true" hidden="false" outlineLevel="0" max="6" min="6" style="8" width="40"/>
  </cols>
  <sheetData>
    <row r="1" customFormat="false" ht="25.5" hidden="false" customHeight="true" outlineLevel="0" collapsed="false">
      <c r="A1" s="9" t="s">
        <v>85</v>
      </c>
      <c r="B1" s="9"/>
      <c r="C1" s="9"/>
      <c r="D1" s="9"/>
      <c r="E1" s="9"/>
      <c r="F1" s="9"/>
    </row>
    <row r="2" customFormat="false" ht="15.75" hidden="false" customHeight="true" outlineLevel="0" collapsed="false">
      <c r="A2" s="10" t="s">
        <v>86</v>
      </c>
      <c r="B2" s="10"/>
      <c r="C2" s="10"/>
      <c r="D2" s="10"/>
      <c r="E2" s="10"/>
      <c r="F2" s="10"/>
    </row>
    <row r="4" customFormat="false" ht="27.75" hidden="false" customHeight="true" outlineLevel="0" collapsed="false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</row>
    <row r="5" customFormat="false" ht="15" hidden="false" customHeight="true" outlineLevel="0" collapsed="false">
      <c r="A5" s="15" t="s">
        <v>93</v>
      </c>
      <c r="B5" s="16" t="n">
        <v>12450</v>
      </c>
      <c r="C5" s="17" t="s">
        <v>94</v>
      </c>
      <c r="D5" s="18" t="n">
        <v>0.35</v>
      </c>
      <c r="E5" s="17" t="s">
        <v>94</v>
      </c>
      <c r="F5" s="19" t="s">
        <v>95</v>
      </c>
    </row>
    <row r="6" customFormat="false" ht="15" hidden="false" customHeight="true" outlineLevel="0" collapsed="false">
      <c r="A6" s="15" t="s">
        <v>96</v>
      </c>
      <c r="B6" s="16" t="n">
        <v>12730</v>
      </c>
      <c r="C6" s="17" t="n">
        <f aca="false">B6-B5</f>
        <v>280</v>
      </c>
      <c r="D6" s="18" t="n">
        <v>0.35</v>
      </c>
      <c r="E6" s="20" t="n">
        <f aca="false">C6*D6</f>
        <v>98</v>
      </c>
      <c r="F6" s="19"/>
    </row>
    <row r="8" customFormat="false" ht="15" hidden="false" customHeight="true" outlineLevel="0" collapsed="false">
      <c r="A8" s="21" t="s">
        <v>97</v>
      </c>
      <c r="B8" s="22" t="n">
        <v>46023</v>
      </c>
    </row>
    <row r="9" customFormat="false" ht="15" hidden="false" customHeight="true" outlineLevel="0" collapsed="false">
      <c r="A9" s="21" t="s">
        <v>98</v>
      </c>
      <c r="B9" s="23" t="n">
        <f aca="false">B8+365</f>
        <v>46388</v>
      </c>
    </row>
    <row r="10" customFormat="false" ht="15" hidden="false" customHeight="true" outlineLevel="0" collapsed="false">
      <c r="A10" s="10" t="s">
        <v>99</v>
      </c>
      <c r="B10" s="10"/>
      <c r="C10" s="10"/>
      <c r="D10" s="10"/>
      <c r="E10" s="10"/>
      <c r="F10" s="10"/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30"/>
    <col collapsed="false" customWidth="true" hidden="false" outlineLevel="0" max="2" min="2" style="8" width="14"/>
    <col collapsed="false" customWidth="true" hidden="false" outlineLevel="0" max="3" min="3" style="8" width="18"/>
    <col collapsed="false" customWidth="true" hidden="false" outlineLevel="0" max="4" min="4" style="8" width="22"/>
    <col collapsed="false" customWidth="true" hidden="false" outlineLevel="0" max="5" min="5" style="8" width="16"/>
    <col collapsed="false" customWidth="true" hidden="false" outlineLevel="0" max="6" min="6" style="8" width="55"/>
  </cols>
  <sheetData>
    <row r="1" customFormat="false" ht="25.5" hidden="false" customHeight="true" outlineLevel="0" collapsed="false">
      <c r="A1" s="9" t="s">
        <v>100</v>
      </c>
      <c r="B1" s="9"/>
      <c r="C1" s="9"/>
      <c r="D1" s="9"/>
      <c r="E1" s="9"/>
      <c r="F1" s="9"/>
    </row>
    <row r="2" customFormat="false" ht="15.75" hidden="false" customHeight="true" outlineLevel="0" collapsed="false">
      <c r="A2" s="10" t="s">
        <v>101</v>
      </c>
      <c r="B2" s="10"/>
      <c r="C2" s="10"/>
      <c r="D2" s="10"/>
      <c r="E2" s="10"/>
      <c r="F2" s="10"/>
    </row>
    <row r="4" customFormat="false" ht="27.75" hidden="false" customHeight="true" outlineLevel="0" collapsed="false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8</v>
      </c>
    </row>
    <row r="5" customFormat="false" ht="33.75" hidden="false" customHeight="true" outlineLevel="0" collapsed="false">
      <c r="A5" s="24" t="s">
        <v>107</v>
      </c>
      <c r="B5" s="25" t="n">
        <v>120</v>
      </c>
      <c r="C5" s="26" t="n">
        <v>46478</v>
      </c>
      <c r="D5" s="24" t="s">
        <v>108</v>
      </c>
      <c r="E5" s="27" t="n">
        <f aca="true">C5-TODAY()</f>
        <v>234</v>
      </c>
      <c r="F5" s="28" t="s">
        <v>109</v>
      </c>
    </row>
    <row r="6" customFormat="false" ht="33.75" hidden="false" customHeight="true" outlineLevel="0" collapsed="false">
      <c r="A6" s="24" t="s">
        <v>110</v>
      </c>
      <c r="B6" s="25" t="n">
        <v>480</v>
      </c>
      <c r="C6" s="26" t="n">
        <v>46388</v>
      </c>
      <c r="D6" s="24" t="s">
        <v>111</v>
      </c>
      <c r="E6" s="27" t="n">
        <f aca="true">C6-TODAY()</f>
        <v>144</v>
      </c>
      <c r="F6" s="28" t="s">
        <v>112</v>
      </c>
    </row>
    <row r="7" customFormat="false" ht="33.75" hidden="false" customHeight="true" outlineLevel="0" collapsed="false">
      <c r="A7" s="24" t="s">
        <v>113</v>
      </c>
      <c r="B7" s="25" t="n">
        <v>61.5</v>
      </c>
      <c r="C7" s="26" t="n">
        <v>46296</v>
      </c>
      <c r="D7" s="24" t="s">
        <v>114</v>
      </c>
      <c r="E7" s="27" t="n">
        <f aca="true">C7-TODAY()</f>
        <v>52</v>
      </c>
      <c r="F7" s="28" t="s">
        <v>115</v>
      </c>
    </row>
    <row r="8" customFormat="false" ht="33.75" hidden="false" customHeight="true" outlineLevel="0" collapsed="false">
      <c r="A8" s="24" t="s">
        <v>116</v>
      </c>
      <c r="B8" s="25" t="n">
        <v>90</v>
      </c>
      <c r="C8" s="26" t="n">
        <v>46419</v>
      </c>
      <c r="D8" s="24" t="s">
        <v>117</v>
      </c>
      <c r="E8" s="27" t="n">
        <f aca="true">C8-TODAY()</f>
        <v>175</v>
      </c>
      <c r="F8" s="2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8"/>
    <col collapsed="false" customWidth="true" hidden="false" outlineLevel="0" max="2" min="2" style="8" width="40"/>
    <col collapsed="false" customWidth="true" hidden="false" outlineLevel="0" max="3" min="3" style="8" width="12"/>
    <col collapsed="false" customWidth="true" hidden="false" outlineLevel="0" max="4" min="4" style="8" width="22"/>
    <col collapsed="false" customWidth="true" hidden="false" outlineLevel="0" max="5" min="5" style="8" width="40"/>
  </cols>
  <sheetData>
    <row r="1" customFormat="false" ht="25.5" hidden="false" customHeight="true" outlineLevel="0" collapsed="false">
      <c r="A1" s="9" t="s">
        <v>118</v>
      </c>
      <c r="B1" s="9"/>
      <c r="C1" s="9"/>
      <c r="D1" s="9"/>
      <c r="E1" s="9"/>
    </row>
    <row r="2" customFormat="false" ht="15.75" hidden="false" customHeight="true" outlineLevel="0" collapsed="false">
      <c r="A2" s="10" t="s">
        <v>119</v>
      </c>
      <c r="B2" s="10"/>
      <c r="C2" s="10"/>
      <c r="D2" s="10"/>
      <c r="E2" s="10"/>
    </row>
    <row r="4" customFormat="false" ht="15" hidden="false" customHeight="true" outlineLevel="0" collapsed="false">
      <c r="A4" s="29" t="s">
        <v>120</v>
      </c>
    </row>
    <row r="5" customFormat="false" ht="24" hidden="false" customHeight="true" outlineLevel="0" collapsed="false">
      <c r="A5" s="3" t="s">
        <v>121</v>
      </c>
      <c r="B5" s="3" t="s">
        <v>122</v>
      </c>
      <c r="C5" s="3" t="s">
        <v>123</v>
      </c>
      <c r="D5" s="3" t="s">
        <v>124</v>
      </c>
      <c r="E5" s="3" t="s">
        <v>125</v>
      </c>
    </row>
    <row r="6" customFormat="false" ht="15" hidden="false" customHeight="true" outlineLevel="0" collapsed="false">
      <c r="A6" s="30" t="n">
        <v>46096</v>
      </c>
      <c r="B6" s="16" t="s">
        <v>126</v>
      </c>
      <c r="C6" s="16" t="n">
        <v>1</v>
      </c>
      <c r="D6" s="17" t="n">
        <f aca="false">SUM(C6:C6)</f>
        <v>1</v>
      </c>
      <c r="E6" s="19" t="s">
        <v>127</v>
      </c>
    </row>
    <row r="9" customFormat="false" ht="15" hidden="false" customHeight="true" outlineLevel="0" collapsed="false">
      <c r="A9" s="29" t="s">
        <v>128</v>
      </c>
    </row>
    <row r="10" customFormat="false" ht="24" hidden="false" customHeight="true" outlineLevel="0" collapsed="false">
      <c r="A10" s="3" t="s">
        <v>129</v>
      </c>
      <c r="B10" s="3" t="s">
        <v>130</v>
      </c>
      <c r="C10" s="3" t="s">
        <v>131</v>
      </c>
      <c r="D10" s="3" t="s">
        <v>8</v>
      </c>
    </row>
    <row r="11" customFormat="false" ht="57" hidden="false" customHeight="true" outlineLevel="0" collapsed="false">
      <c r="A11" s="26" t="n">
        <v>46037</v>
      </c>
      <c r="B11" s="31" t="n">
        <v>97.5</v>
      </c>
      <c r="C11" s="24" t="s">
        <v>132</v>
      </c>
      <c r="D11" s="28" t="s">
        <v>133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36"/>
    <col collapsed="false" customWidth="true" hidden="false" outlineLevel="0" max="2" min="2" style="8" width="22"/>
    <col collapsed="false" customWidth="true" hidden="false" outlineLevel="0" max="3" min="3" style="8" width="16"/>
    <col collapsed="false" customWidth="true" hidden="false" outlineLevel="0" max="4" min="4" style="8" width="20"/>
    <col collapsed="false" customWidth="true" hidden="false" outlineLevel="0" max="5" min="5" style="8" width="40"/>
  </cols>
  <sheetData>
    <row r="1" customFormat="false" ht="25.5" hidden="false" customHeight="true" outlineLevel="0" collapsed="false">
      <c r="A1" s="9" t="s">
        <v>134</v>
      </c>
      <c r="B1" s="9"/>
      <c r="C1" s="9"/>
      <c r="D1" s="9"/>
      <c r="E1" s="9"/>
    </row>
    <row r="2" customFormat="false" ht="15.75" hidden="false" customHeight="true" outlineLevel="0" collapsed="false">
      <c r="A2" s="10" t="s">
        <v>135</v>
      </c>
      <c r="B2" s="10"/>
      <c r="C2" s="10"/>
      <c r="D2" s="10"/>
      <c r="E2" s="10"/>
    </row>
    <row r="4" customFormat="false" ht="27.75" hidden="false" customHeight="true" outlineLevel="0" collapsed="false">
      <c r="A4" s="3" t="s">
        <v>102</v>
      </c>
      <c r="B4" s="3" t="s">
        <v>136</v>
      </c>
      <c r="C4" s="3" t="s">
        <v>137</v>
      </c>
      <c r="D4" s="3" t="s">
        <v>138</v>
      </c>
      <c r="E4" s="3" t="s">
        <v>8</v>
      </c>
    </row>
    <row r="5" customFormat="false" ht="15" hidden="false" customHeight="true" outlineLevel="0" collapsed="false">
      <c r="A5" s="11" t="s">
        <v>139</v>
      </c>
      <c r="B5" s="32" t="n">
        <v>45</v>
      </c>
      <c r="C5" s="11" t="n">
        <v>3</v>
      </c>
      <c r="D5" s="33" t="n">
        <f aca="false">B5/C5</f>
        <v>15</v>
      </c>
      <c r="E5" s="34" t="s">
        <v>140</v>
      </c>
    </row>
    <row r="6" customFormat="false" ht="15" hidden="false" customHeight="true" outlineLevel="0" collapsed="false">
      <c r="A6" s="11" t="s">
        <v>141</v>
      </c>
      <c r="B6" s="32" t="n">
        <v>60</v>
      </c>
      <c r="C6" s="11" t="n">
        <v>3</v>
      </c>
      <c r="D6" s="33" t="n">
        <f aca="false">B6/C6</f>
        <v>20</v>
      </c>
      <c r="E6" s="34" t="s">
        <v>142</v>
      </c>
    </row>
    <row r="7" customFormat="false" ht="15" hidden="false" customHeight="true" outlineLevel="0" collapsed="false">
      <c r="A7" s="11" t="s">
        <v>143</v>
      </c>
      <c r="B7" s="32" t="n">
        <v>18</v>
      </c>
      <c r="C7" s="11" t="n">
        <v>4</v>
      </c>
      <c r="D7" s="33" t="n">
        <f aca="false">B7/C7</f>
        <v>4.5</v>
      </c>
      <c r="E7" s="34" t="s">
        <v>144</v>
      </c>
    </row>
    <row r="8" customFormat="false" ht="23.25" hidden="false" customHeight="true" outlineLevel="0" collapsed="false">
      <c r="A8" s="11" t="s">
        <v>145</v>
      </c>
      <c r="B8" s="32" t="n">
        <v>25</v>
      </c>
      <c r="C8" s="11" t="n">
        <v>4</v>
      </c>
      <c r="D8" s="33" t="n">
        <f aca="false">B8/C8</f>
        <v>6.25</v>
      </c>
      <c r="E8" s="34" t="s">
        <v>146</v>
      </c>
    </row>
    <row r="10" customFormat="false" ht="15" hidden="false" customHeight="true" outlineLevel="0" collapsed="false">
      <c r="A10" s="21" t="s">
        <v>147</v>
      </c>
      <c r="B10" s="35" t="n">
        <f aca="false">SUM(B5:B8)-SUM(D5:D8)</f>
        <v>102.25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2026-08-10T00:37:30Z</dcterms:created>
  <dc:creator>openpyxl</dc:creator>
  <dc:description/>
  <dc:language>en-US</dc:language>
  <cp:lastModifiedBy/>
  <dcterms:modified xsi:type="dcterms:W3CDTF">2026-08-10T00:54:13Z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