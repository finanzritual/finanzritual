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stehungskosten-Rechn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635"/>
      <sz val="15"/>
    </font>
    <font>
      <name val="Arial"/>
      <charset val="1"/>
      <family val="0"/>
      <i val="1"/>
      <color rgb="FF666666"/>
      <sz val="8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FFF9C4"/>
        <bgColor rgb="FFFFFFCC"/>
      </patternFill>
    </fill>
    <fill>
      <patternFill patternType="solid">
        <fgColor rgb="FF2454A6"/>
        <bgColor rgb="FF0066CC"/>
      </patternFill>
    </fill>
    <fill>
      <patternFill patternType="solid">
        <fgColor rgb="FFFFFFCC"/>
        <bgColor rgb="FFFFF9C4"/>
      </patternFill>
    </fill>
    <fill>
      <patternFill patternType="solid">
        <fgColor rgb="FFD9E8F5"/>
        <bgColor rgb="FFCCFFFF"/>
      </patternFill>
    </fill>
    <fill>
      <patternFill patternType="solid">
        <fgColor rgb="FF1E8E5A"/>
        <bgColor rgb="FF00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3" fontId="12" fillId="6" borderId="1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3" fontId="12" fillId="6" borderId="1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E8E5A"/>
      <rgbColor rgb="FF003300"/>
      <rgbColor rgb="FF333300"/>
      <rgbColor rgb="FF993300"/>
      <rgbColor rgb="FF993366"/>
      <rgbColor rgb="FF2454A6"/>
      <rgbColor rgb="FF1B263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6" min="1" max="1"/>
    <col width="20" customWidth="1" style="16" min="2" max="5"/>
    <col width="20" customWidth="1" style="17" min="3" max="3"/>
    <col width="20" customWidth="1" style="17" min="4" max="4"/>
    <col width="20" customWidth="1" style="17" min="5" max="5"/>
    <col width="4" customWidth="1" style="16" min="6" max="6"/>
  </cols>
  <sheetData>
    <row r="1" ht="18.55" customHeight="1" s="17">
      <c r="A1" s="18" t="inlineStr">
        <is>
          <t>Reale Immobilien-Gestehungskosten vs. Energieeffizienz (Stand 2026/2027)</t>
        </is>
      </c>
    </row>
    <row r="2" ht="15" customHeight="1" s="17">
      <c r="A2" s="19" t="inlineStr">
        <is>
          <t>Vergleicht nominale Kaufpreise mit den realen Gesamtkosten inklusive Kaufnebenkosten und energetischem Sanierungszwang (GEG/GModG).</t>
        </is>
      </c>
    </row>
    <row r="4" ht="15" customHeight="1" s="17">
      <c r="A4" s="20" t="inlineStr">
        <is>
          <t>Annahmen (bitte bei Bedarf anpassen):</t>
        </is>
      </c>
    </row>
    <row r="5" ht="15" customHeight="1" s="17">
      <c r="A5" s="21" t="inlineStr">
        <is>
          <t>Grunderwerbsteuersatz (Bsp. Hessen 2026):</t>
        </is>
      </c>
      <c r="C5" s="22" t="n">
        <v>0.06</v>
      </c>
      <c r="D5" s="19" t="inlineStr">
        <is>
          <t>Quelle: GrEStG Hessen, seit 01.08.2014 unverändert 6,0% (Stand 2026)</t>
        </is>
      </c>
    </row>
    <row r="6" ht="15" customHeight="1" s="17">
      <c r="A6" s="21" t="inlineStr">
        <is>
          <t>Notar- &amp; Grundbuchkosten (Satz):</t>
        </is>
      </c>
      <c r="C6" s="22" t="n">
        <v>0.02</v>
      </c>
      <c r="D6" s="19" t="inlineStr">
        <is>
          <t>Übliche Faustregel: ca. 1,5% Notar + ca. 0,5% Grundbuch</t>
        </is>
      </c>
    </row>
    <row r="9" ht="15" customHeight="1" s="17">
      <c r="A9" s="23" t="inlineStr">
        <is>
          <t>Parameter / Kennzahl</t>
        </is>
      </c>
      <c r="B9" s="23" t="inlineStr">
        <is>
          <t>A: Alter Hof</t>
        </is>
      </c>
      <c r="C9" s="23" t="inlineStr">
        <is>
          <t>B: Generationenhaus</t>
        </is>
      </c>
      <c r="D9" s="23" t="inlineStr">
        <is>
          <t>C: Post-Moderne</t>
        </is>
      </c>
      <c r="E9" s="23" t="inlineStr">
        <is>
          <t>D: High-Tech-Neubau</t>
        </is>
      </c>
    </row>
    <row r="10" ht="15" customHeight="1" s="17">
      <c r="A10" s="24" t="inlineStr">
        <is>
          <t>Baujahr</t>
        </is>
      </c>
      <c r="B10" s="25" t="n">
        <v>1935</v>
      </c>
      <c r="C10" s="25" t="n">
        <v>1964</v>
      </c>
      <c r="D10" s="25" t="n">
        <v>1985</v>
      </c>
      <c r="E10" s="25" t="n">
        <v>2019</v>
      </c>
    </row>
    <row r="11" ht="15" customHeight="1" s="17">
      <c r="A11" s="24" t="inlineStr">
        <is>
          <t>Energieeffizienzklasse</t>
        </is>
      </c>
      <c r="B11" s="26" t="inlineStr">
        <is>
          <t>H</t>
        </is>
      </c>
      <c r="C11" s="26" t="inlineStr">
        <is>
          <t>H</t>
        </is>
      </c>
      <c r="D11" s="26" t="inlineStr">
        <is>
          <t>D</t>
        </is>
      </c>
      <c r="E11" s="26" t="inlineStr">
        <is>
          <t>A+</t>
        </is>
      </c>
    </row>
    <row r="12" ht="15" customHeight="1" s="17">
      <c r="A12" s="24" t="inlineStr">
        <is>
          <t>Endenergiebedarf (kWh/(m²·a))</t>
        </is>
      </c>
      <c r="B12" s="25" t="n">
        <v>460</v>
      </c>
      <c r="C12" s="25" t="n">
        <v>262</v>
      </c>
      <c r="D12" s="25" t="n">
        <v>102</v>
      </c>
      <c r="E12" s="25" t="n">
        <v>27</v>
      </c>
    </row>
    <row r="13" ht="15" customHeight="1" s="17">
      <c r="A13" s="24" t="inlineStr">
        <is>
          <t>Aktueller Energieträger</t>
        </is>
      </c>
      <c r="B13" s="26" t="inlineStr">
        <is>
          <t>Heizöl</t>
        </is>
      </c>
      <c r="C13" s="26" t="inlineStr">
        <is>
          <t>Heizöl</t>
        </is>
      </c>
      <c r="D13" s="26" t="inlineStr">
        <is>
          <t>Erdgas</t>
        </is>
      </c>
      <c r="E13" s="26" t="inlineStr">
        <is>
          <t>Wärmepumpe</t>
        </is>
      </c>
    </row>
    <row r="14" ht="15" customHeight="1" s="17">
      <c r="A14" s="24" t="inlineStr">
        <is>
          <t>Nominaler Kaufpreis (€)</t>
        </is>
      </c>
      <c r="B14" s="27" t="n">
        <v>149000</v>
      </c>
      <c r="C14" s="27" t="n">
        <v>290000</v>
      </c>
      <c r="D14" s="27" t="n">
        <v>325000</v>
      </c>
      <c r="E14" s="27" t="n">
        <v>625000</v>
      </c>
    </row>
    <row r="15" ht="15" customHeight="1" s="17">
      <c r="A15" s="24" t="inlineStr">
        <is>
          <t>+ Grunderwerbsteuer (€)</t>
        </is>
      </c>
      <c r="B15" s="28">
        <f>B14*$C$5</f>
        <v/>
      </c>
      <c r="C15" s="28">
        <f>C14*$C$5</f>
        <v/>
      </c>
      <c r="D15" s="28">
        <f>D14*$C$5</f>
        <v/>
      </c>
      <c r="E15" s="28">
        <f>E14*$C$5</f>
        <v/>
      </c>
    </row>
    <row r="16" ht="15" customHeight="1" s="17">
      <c r="A16" s="24" t="inlineStr">
        <is>
          <t>+ Notar &amp; Grundbuch (€)</t>
        </is>
      </c>
      <c r="B16" s="28">
        <f>B14*$C$6</f>
        <v/>
      </c>
      <c r="C16" s="28">
        <f>C14*$C$6</f>
        <v/>
      </c>
      <c r="D16" s="28">
        <f>D14*$C$6</f>
        <v/>
      </c>
      <c r="E16" s="28">
        <f>E14*$C$6</f>
        <v/>
      </c>
    </row>
    <row r="17" ht="15" customHeight="1" s="17">
      <c r="A17" s="24" t="inlineStr">
        <is>
          <t>Reine Anschaffungskosten (€)</t>
        </is>
      </c>
      <c r="B17" s="29">
        <f>B14+B15+B16</f>
        <v/>
      </c>
      <c r="C17" s="29">
        <f>C14+C15+C16</f>
        <v/>
      </c>
      <c r="D17" s="29">
        <f>D14+D15+D16</f>
        <v/>
      </c>
      <c r="E17" s="29">
        <f>E14+E15+E16</f>
        <v/>
      </c>
    </row>
    <row r="18" ht="15" customHeight="1" s="17">
      <c r="A18" s="24" t="inlineStr">
        <is>
          <t>+ Dach- &amp; Hüllendämmung (€)</t>
        </is>
      </c>
      <c r="B18" s="27" t="n">
        <v>140000</v>
      </c>
      <c r="C18" s="27" t="n">
        <v>90000</v>
      </c>
      <c r="D18" s="27" t="n">
        <v>15000</v>
      </c>
      <c r="E18" s="27" t="n">
        <v>0</v>
      </c>
    </row>
    <row r="19" ht="15" customHeight="1" s="17">
      <c r="A19" s="24" t="inlineStr">
        <is>
          <t>+ GEG-Heizungstausch/WP (€)</t>
        </is>
      </c>
      <c r="B19" s="27" t="n">
        <v>35000</v>
      </c>
      <c r="C19" s="27" t="n">
        <v>30000</v>
      </c>
      <c r="D19" s="27" t="n">
        <v>25000</v>
      </c>
      <c r="E19" s="27" t="n">
        <v>0</v>
      </c>
    </row>
    <row r="20" ht="15" customHeight="1" s="17">
      <c r="A20" s="24" t="inlineStr">
        <is>
          <t>+ Off-Grid PV &amp; Speicher (€)</t>
        </is>
      </c>
      <c r="B20" s="27" t="n">
        <v>45000</v>
      </c>
      <c r="C20" s="27" t="n">
        <v>35000</v>
      </c>
      <c r="D20" s="27" t="n">
        <v>0</v>
      </c>
      <c r="E20" s="27" t="n">
        <v>0</v>
      </c>
    </row>
    <row r="21" ht="15" customHeight="1" s="17">
      <c r="A21" s="24" t="inlineStr">
        <is>
          <t>+ Fenster &amp; Sonstige (€)</t>
        </is>
      </c>
      <c r="B21" s="27" t="n">
        <v>60000</v>
      </c>
      <c r="C21" s="27" t="n">
        <v>25000</v>
      </c>
      <c r="D21" s="27" t="n">
        <v>0</v>
      </c>
      <c r="E21" s="27" t="n">
        <v>0</v>
      </c>
    </row>
    <row r="22" ht="15" customHeight="1" s="17">
      <c r="A22" s="24" t="inlineStr">
        <is>
          <t>Gesamte Sanierungskosten (€)</t>
        </is>
      </c>
      <c r="B22" s="29">
        <f>B18+B19+B20+B21</f>
        <v/>
      </c>
      <c r="C22" s="29">
        <f>C18+C19+C20+C21</f>
        <v/>
      </c>
      <c r="D22" s="29">
        <f>D18+D19+D20+D21</f>
        <v/>
      </c>
      <c r="E22" s="29">
        <f>E18+E19+E20+E21</f>
        <v/>
      </c>
    </row>
    <row r="23" ht="15" customHeight="1" s="17">
      <c r="A23" s="24" t="inlineStr">
        <is>
          <t>REALE GESTEHUNGSKOSTEN (€)</t>
        </is>
      </c>
      <c r="B23" s="30">
        <f>B17+B22</f>
        <v/>
      </c>
      <c r="C23" s="30">
        <f>C17+C22</f>
        <v/>
      </c>
      <c r="D23" s="30">
        <f>D17+D22</f>
        <v/>
      </c>
      <c r="E23" s="30">
        <f>E17+E22</f>
        <v/>
      </c>
    </row>
    <row r="26" ht="15" customHeight="1" s="17">
      <c r="A26" s="20" t="inlineStr">
        <is>
          <t>Diagnose: Kostenersparnis Objekt C ggü. Objekt A</t>
        </is>
      </c>
      <c r="B26" s="31">
        <f>D23-B23</f>
        <v/>
      </c>
    </row>
    <row r="27" ht="15" customHeight="1" s="17">
      <c r="A27" s="19" t="inlineStr">
        <is>
          <t>(negativ = Objekt C guenstiger als Objekt A trotz hoeherem Kaufpreis)</t>
        </is>
      </c>
    </row>
    <row r="29" ht="15" customHeight="1" s="17">
      <c r="A29" s="19" t="inlineStr">
        <is>
          <t>Legende: Gelb hinterlegt = Eingabezelle (bei Bedarf anpassen) | Blau = berechnet | Gruen = Endergebnis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2026-08-29T17:31:22Z</dcterms:created>
  <dcterms:modified xmlns:dcterms="http://purl.org/dc/terms/" xmlns:xsi="http://www.w3.org/2001/XMLSchema-instance" xsi:type="dcterms:W3CDTF">2026-08-31T22:50:23Z</dcterms:modified>
  <cp:revision>0</cp:revision>
</cp:coreProperties>
</file>